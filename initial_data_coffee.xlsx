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inert\Desktop\Excel\excel-project-coffee-sales-main\"/>
    </mc:Choice>
  </mc:AlternateContent>
  <xr:revisionPtr revIDLastSave="0" documentId="13_ncr:1_{46A4AAED-2B2E-43DF-B806-65F6DBD9A18F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7" l="1"/>
  <c r="J3" i="17"/>
  <c r="K3" i="17"/>
  <c r="L3" i="17"/>
  <c r="I4" i="17"/>
  <c r="J4" i="17"/>
  <c r="K4" i="17"/>
  <c r="L4" i="17"/>
  <c r="I5" i="17"/>
  <c r="J5" i="17"/>
  <c r="K5" i="17"/>
  <c r="L5" i="17"/>
  <c r="I6" i="17"/>
  <c r="J6" i="17"/>
  <c r="K6" i="17"/>
  <c r="L6" i="17"/>
  <c r="I7" i="17"/>
  <c r="J7" i="17"/>
  <c r="K7" i="17"/>
  <c r="L7" i="17"/>
  <c r="I8" i="17"/>
  <c r="J8" i="17"/>
  <c r="K8" i="17"/>
  <c r="L8" i="17"/>
  <c r="I9" i="17"/>
  <c r="J9" i="17"/>
  <c r="K9" i="17"/>
  <c r="L9" i="17"/>
  <c r="I10" i="17"/>
  <c r="J10" i="17"/>
  <c r="K10" i="17"/>
  <c r="L10" i="17"/>
  <c r="I11" i="17"/>
  <c r="J11" i="17"/>
  <c r="K11" i="17"/>
  <c r="L11" i="17"/>
  <c r="I12" i="17"/>
  <c r="J12" i="17"/>
  <c r="K12" i="17"/>
  <c r="L12" i="17"/>
  <c r="I13" i="17"/>
  <c r="J13" i="17"/>
  <c r="K13" i="17"/>
  <c r="L13" i="17"/>
  <c r="I14" i="17"/>
  <c r="J14" i="17"/>
  <c r="K14" i="17"/>
  <c r="L14" i="17"/>
  <c r="I15" i="17"/>
  <c r="J15" i="17"/>
  <c r="K15" i="17"/>
  <c r="L15" i="17"/>
  <c r="I16" i="17"/>
  <c r="J16" i="17"/>
  <c r="K16" i="17"/>
  <c r="L16" i="17"/>
  <c r="I17" i="17"/>
  <c r="J17" i="17"/>
  <c r="K17" i="17"/>
  <c r="L17" i="17"/>
  <c r="I18" i="17"/>
  <c r="J18" i="17"/>
  <c r="K18" i="17"/>
  <c r="L18" i="17"/>
  <c r="I19" i="17"/>
  <c r="J19" i="17"/>
  <c r="K19" i="17"/>
  <c r="L19" i="17"/>
  <c r="I20" i="17"/>
  <c r="J20" i="17"/>
  <c r="K20" i="17"/>
  <c r="L20" i="17"/>
  <c r="I21" i="17"/>
  <c r="J21" i="17"/>
  <c r="K21" i="17"/>
  <c r="L21" i="17"/>
  <c r="I22" i="17"/>
  <c r="J22" i="17"/>
  <c r="K22" i="17"/>
  <c r="L22" i="17"/>
  <c r="I23" i="17"/>
  <c r="J23" i="17"/>
  <c r="K23" i="17"/>
  <c r="L23" i="17"/>
  <c r="I24" i="17"/>
  <c r="J24" i="17"/>
  <c r="K24" i="17"/>
  <c r="L24" i="17"/>
  <c r="I25" i="17"/>
  <c r="J25" i="17"/>
  <c r="K25" i="17"/>
  <c r="L25" i="17"/>
  <c r="I26" i="17"/>
  <c r="J26" i="17"/>
  <c r="K26" i="17"/>
  <c r="L26" i="17"/>
  <c r="I27" i="17"/>
  <c r="J27" i="17"/>
  <c r="K27" i="17"/>
  <c r="L27" i="17"/>
  <c r="I28" i="17"/>
  <c r="J28" i="17"/>
  <c r="K28" i="17"/>
  <c r="L28" i="17"/>
  <c r="I29" i="17"/>
  <c r="J29" i="17"/>
  <c r="K29" i="17"/>
  <c r="L29" i="17"/>
  <c r="I30" i="17"/>
  <c r="J30" i="17"/>
  <c r="K30" i="17"/>
  <c r="L30" i="17"/>
  <c r="I31" i="17"/>
  <c r="J31" i="17"/>
  <c r="K31" i="17"/>
  <c r="L31" i="17"/>
  <c r="I32" i="17"/>
  <c r="J32" i="17"/>
  <c r="K32" i="17"/>
  <c r="L32" i="17"/>
  <c r="I33" i="17"/>
  <c r="J33" i="17"/>
  <c r="K33" i="17"/>
  <c r="L33" i="17"/>
  <c r="I34" i="17"/>
  <c r="J34" i="17"/>
  <c r="K34" i="17"/>
  <c r="L34" i="17"/>
  <c r="I35" i="17"/>
  <c r="J35" i="17"/>
  <c r="K35" i="17"/>
  <c r="L35" i="17"/>
  <c r="I36" i="17"/>
  <c r="J36" i="17"/>
  <c r="K36" i="17"/>
  <c r="L36" i="17"/>
  <c r="I37" i="17"/>
  <c r="J37" i="17"/>
  <c r="K37" i="17"/>
  <c r="L37" i="17"/>
  <c r="I38" i="17"/>
  <c r="J38" i="17"/>
  <c r="K38" i="17"/>
  <c r="L38" i="17"/>
  <c r="I39" i="17"/>
  <c r="J39" i="17"/>
  <c r="K39" i="17"/>
  <c r="L39" i="17"/>
  <c r="I40" i="17"/>
  <c r="J40" i="17"/>
  <c r="K40" i="17"/>
  <c r="L40" i="17"/>
  <c r="I41" i="17"/>
  <c r="J41" i="17"/>
  <c r="K41" i="17"/>
  <c r="L41" i="17"/>
  <c r="I42" i="17"/>
  <c r="J42" i="17"/>
  <c r="K42" i="17"/>
  <c r="L42" i="17"/>
  <c r="I43" i="17"/>
  <c r="J43" i="17"/>
  <c r="K43" i="17"/>
  <c r="L43" i="17"/>
  <c r="I44" i="17"/>
  <c r="J44" i="17"/>
  <c r="K44" i="17"/>
  <c r="L44" i="17"/>
  <c r="I45" i="17"/>
  <c r="J45" i="17"/>
  <c r="K45" i="17"/>
  <c r="L45" i="17"/>
  <c r="I46" i="17"/>
  <c r="J46" i="17"/>
  <c r="K46" i="17"/>
  <c r="L46" i="17"/>
  <c r="I47" i="17"/>
  <c r="J47" i="17"/>
  <c r="K47" i="17"/>
  <c r="L47" i="17"/>
  <c r="I48" i="17"/>
  <c r="J48" i="17"/>
  <c r="K48" i="17"/>
  <c r="L48" i="17"/>
  <c r="I49" i="17"/>
  <c r="J49" i="17"/>
  <c r="K49" i="17"/>
  <c r="L49" i="17"/>
  <c r="I50" i="17"/>
  <c r="J50" i="17"/>
  <c r="K50" i="17"/>
  <c r="L50" i="17"/>
  <c r="I51" i="17"/>
  <c r="J51" i="17"/>
  <c r="K51" i="17"/>
  <c r="L51" i="17"/>
  <c r="I52" i="17"/>
  <c r="J52" i="17"/>
  <c r="K52" i="17"/>
  <c r="L52" i="17"/>
  <c r="I53" i="17"/>
  <c r="J53" i="17"/>
  <c r="K53" i="17"/>
  <c r="L53" i="17"/>
  <c r="I54" i="17"/>
  <c r="J54" i="17"/>
  <c r="K54" i="17"/>
  <c r="L54" i="17"/>
  <c r="I55" i="17"/>
  <c r="J55" i="17"/>
  <c r="K55" i="17"/>
  <c r="L55" i="17"/>
  <c r="I56" i="17"/>
  <c r="J56" i="17"/>
  <c r="K56" i="17"/>
  <c r="L56" i="17"/>
  <c r="I57" i="17"/>
  <c r="J57" i="17"/>
  <c r="K57" i="17"/>
  <c r="L57" i="17"/>
  <c r="I58" i="17"/>
  <c r="J58" i="17"/>
  <c r="K58" i="17"/>
  <c r="L58" i="17"/>
  <c r="I59" i="17"/>
  <c r="J59" i="17"/>
  <c r="K59" i="17"/>
  <c r="L59" i="17"/>
  <c r="I60" i="17"/>
  <c r="J60" i="17"/>
  <c r="K60" i="17"/>
  <c r="L60" i="17"/>
  <c r="I61" i="17"/>
  <c r="J61" i="17"/>
  <c r="K61" i="17"/>
  <c r="L61" i="17"/>
  <c r="I62" i="17"/>
  <c r="J62" i="17"/>
  <c r="K62" i="17"/>
  <c r="L62" i="17"/>
  <c r="I63" i="17"/>
  <c r="J63" i="17"/>
  <c r="K63" i="17"/>
  <c r="L63" i="17"/>
  <c r="I64" i="17"/>
  <c r="J64" i="17"/>
  <c r="K64" i="17"/>
  <c r="L64" i="17"/>
  <c r="I65" i="17"/>
  <c r="J65" i="17"/>
  <c r="K65" i="17"/>
  <c r="L65" i="17"/>
  <c r="I66" i="17"/>
  <c r="J66" i="17"/>
  <c r="K66" i="17"/>
  <c r="L66" i="17"/>
  <c r="I67" i="17"/>
  <c r="J67" i="17"/>
  <c r="K67" i="17"/>
  <c r="L67" i="17"/>
  <c r="I68" i="17"/>
  <c r="J68" i="17"/>
  <c r="K68" i="17"/>
  <c r="L68" i="17"/>
  <c r="I69" i="17"/>
  <c r="J69" i="17"/>
  <c r="K69" i="17"/>
  <c r="L69" i="17"/>
  <c r="I70" i="17"/>
  <c r="J70" i="17"/>
  <c r="K70" i="17"/>
  <c r="L70" i="17"/>
  <c r="I71" i="17"/>
  <c r="J71" i="17"/>
  <c r="K71" i="17"/>
  <c r="L71" i="17"/>
  <c r="I72" i="17"/>
  <c r="J72" i="17"/>
  <c r="K72" i="17"/>
  <c r="L72" i="17"/>
  <c r="I73" i="17"/>
  <c r="J73" i="17"/>
  <c r="K73" i="17"/>
  <c r="L73" i="17"/>
  <c r="I74" i="17"/>
  <c r="J74" i="17"/>
  <c r="K74" i="17"/>
  <c r="L74" i="17"/>
  <c r="I75" i="17"/>
  <c r="J75" i="17"/>
  <c r="K75" i="17"/>
  <c r="L75" i="17"/>
  <c r="I76" i="17"/>
  <c r="J76" i="17"/>
  <c r="K76" i="17"/>
  <c r="L76" i="17"/>
  <c r="I77" i="17"/>
  <c r="J77" i="17"/>
  <c r="K77" i="17"/>
  <c r="L77" i="17"/>
  <c r="I78" i="17"/>
  <c r="J78" i="17"/>
  <c r="K78" i="17"/>
  <c r="L78" i="17"/>
  <c r="I79" i="17"/>
  <c r="J79" i="17"/>
  <c r="K79" i="17"/>
  <c r="L79" i="17"/>
  <c r="I80" i="17"/>
  <c r="J80" i="17"/>
  <c r="K80" i="17"/>
  <c r="L80" i="17"/>
  <c r="I81" i="17"/>
  <c r="J81" i="17"/>
  <c r="K81" i="17"/>
  <c r="L81" i="17"/>
  <c r="I82" i="17"/>
  <c r="J82" i="17"/>
  <c r="K82" i="17"/>
  <c r="L82" i="17"/>
  <c r="I83" i="17"/>
  <c r="J83" i="17"/>
  <c r="K83" i="17"/>
  <c r="L83" i="17"/>
  <c r="I84" i="17"/>
  <c r="J84" i="17"/>
  <c r="K84" i="17"/>
  <c r="L84" i="17"/>
  <c r="I85" i="17"/>
  <c r="J85" i="17"/>
  <c r="K85" i="17"/>
  <c r="L85" i="17"/>
  <c r="I86" i="17"/>
  <c r="J86" i="17"/>
  <c r="K86" i="17"/>
  <c r="L86" i="17"/>
  <c r="I87" i="17"/>
  <c r="J87" i="17"/>
  <c r="K87" i="17"/>
  <c r="L87" i="17"/>
  <c r="I88" i="17"/>
  <c r="J88" i="17"/>
  <c r="K88" i="17"/>
  <c r="L88" i="17"/>
  <c r="I89" i="17"/>
  <c r="J89" i="17"/>
  <c r="K89" i="17"/>
  <c r="L89" i="17"/>
  <c r="I90" i="17"/>
  <c r="J90" i="17"/>
  <c r="K90" i="17"/>
  <c r="L90" i="17"/>
  <c r="I91" i="17"/>
  <c r="J91" i="17"/>
  <c r="K91" i="17"/>
  <c r="L91" i="17"/>
  <c r="I92" i="17"/>
  <c r="J92" i="17"/>
  <c r="K92" i="17"/>
  <c r="L92" i="17"/>
  <c r="I93" i="17"/>
  <c r="J93" i="17"/>
  <c r="K93" i="17"/>
  <c r="L93" i="17"/>
  <c r="I94" i="17"/>
  <c r="J94" i="17"/>
  <c r="K94" i="17"/>
  <c r="L94" i="17"/>
  <c r="I95" i="17"/>
  <c r="J95" i="17"/>
  <c r="K95" i="17"/>
  <c r="L95" i="17"/>
  <c r="I96" i="17"/>
  <c r="J96" i="17"/>
  <c r="K96" i="17"/>
  <c r="L96" i="17"/>
  <c r="I97" i="17"/>
  <c r="J97" i="17"/>
  <c r="K97" i="17"/>
  <c r="L97" i="17"/>
  <c r="I98" i="17"/>
  <c r="J98" i="17"/>
  <c r="K98" i="17"/>
  <c r="L98" i="17"/>
  <c r="I99" i="17"/>
  <c r="J99" i="17"/>
  <c r="K99" i="17"/>
  <c r="L99" i="17"/>
  <c r="I100" i="17"/>
  <c r="J100" i="17"/>
  <c r="K100" i="17"/>
  <c r="L100" i="17"/>
  <c r="I101" i="17"/>
  <c r="J101" i="17"/>
  <c r="K101" i="17"/>
  <c r="L101" i="17"/>
  <c r="I102" i="17"/>
  <c r="J102" i="17"/>
  <c r="K102" i="17"/>
  <c r="L102" i="17"/>
  <c r="I103" i="17"/>
  <c r="J103" i="17"/>
  <c r="K103" i="17"/>
  <c r="L103" i="17"/>
  <c r="I104" i="17"/>
  <c r="J104" i="17"/>
  <c r="K104" i="17"/>
  <c r="L104" i="17"/>
  <c r="I105" i="17"/>
  <c r="J105" i="17"/>
  <c r="K105" i="17"/>
  <c r="L105" i="17"/>
  <c r="I106" i="17"/>
  <c r="J106" i="17"/>
  <c r="K106" i="17"/>
  <c r="L106" i="17"/>
  <c r="I107" i="17"/>
  <c r="J107" i="17"/>
  <c r="K107" i="17"/>
  <c r="L107" i="17"/>
  <c r="I108" i="17"/>
  <c r="J108" i="17"/>
  <c r="K108" i="17"/>
  <c r="L108" i="17"/>
  <c r="I109" i="17"/>
  <c r="J109" i="17"/>
  <c r="K109" i="17"/>
  <c r="L109" i="17"/>
  <c r="I110" i="17"/>
  <c r="J110" i="17"/>
  <c r="K110" i="17"/>
  <c r="L110" i="17"/>
  <c r="I111" i="17"/>
  <c r="J111" i="17"/>
  <c r="K111" i="17"/>
  <c r="L111" i="17"/>
  <c r="I112" i="17"/>
  <c r="J112" i="17"/>
  <c r="K112" i="17"/>
  <c r="L112" i="17"/>
  <c r="I113" i="17"/>
  <c r="J113" i="17"/>
  <c r="K113" i="17"/>
  <c r="L113" i="17"/>
  <c r="I114" i="17"/>
  <c r="J114" i="17"/>
  <c r="K114" i="17"/>
  <c r="L114" i="17"/>
  <c r="I115" i="17"/>
  <c r="J115" i="17"/>
  <c r="K115" i="17"/>
  <c r="L115" i="17"/>
  <c r="I116" i="17"/>
  <c r="J116" i="17"/>
  <c r="K116" i="17"/>
  <c r="L116" i="17"/>
  <c r="I117" i="17"/>
  <c r="J117" i="17"/>
  <c r="K117" i="17"/>
  <c r="L117" i="17"/>
  <c r="I118" i="17"/>
  <c r="J118" i="17"/>
  <c r="K118" i="17"/>
  <c r="L118" i="17"/>
  <c r="I119" i="17"/>
  <c r="J119" i="17"/>
  <c r="K119" i="17"/>
  <c r="L119" i="17"/>
  <c r="I120" i="17"/>
  <c r="J120" i="17"/>
  <c r="K120" i="17"/>
  <c r="L120" i="17"/>
  <c r="I121" i="17"/>
  <c r="J121" i="17"/>
  <c r="K121" i="17"/>
  <c r="L121" i="17"/>
  <c r="I122" i="17"/>
  <c r="J122" i="17"/>
  <c r="K122" i="17"/>
  <c r="L122" i="17"/>
  <c r="I123" i="17"/>
  <c r="J123" i="17"/>
  <c r="K123" i="17"/>
  <c r="L123" i="17"/>
  <c r="I124" i="17"/>
  <c r="J124" i="17"/>
  <c r="K124" i="17"/>
  <c r="L124" i="17"/>
  <c r="I125" i="17"/>
  <c r="J125" i="17"/>
  <c r="K125" i="17"/>
  <c r="L125" i="17"/>
  <c r="I126" i="17"/>
  <c r="J126" i="17"/>
  <c r="K126" i="17"/>
  <c r="L126" i="17"/>
  <c r="I127" i="17"/>
  <c r="J127" i="17"/>
  <c r="K127" i="17"/>
  <c r="L127" i="17"/>
  <c r="I128" i="17"/>
  <c r="J128" i="17"/>
  <c r="K128" i="17"/>
  <c r="L128" i="17"/>
  <c r="I129" i="17"/>
  <c r="J129" i="17"/>
  <c r="K129" i="17"/>
  <c r="L129" i="17"/>
  <c r="I130" i="17"/>
  <c r="J130" i="17"/>
  <c r="K130" i="17"/>
  <c r="L130" i="17"/>
  <c r="I131" i="17"/>
  <c r="J131" i="17"/>
  <c r="K131" i="17"/>
  <c r="L131" i="17"/>
  <c r="I132" i="17"/>
  <c r="J132" i="17"/>
  <c r="K132" i="17"/>
  <c r="L132" i="17"/>
  <c r="I133" i="17"/>
  <c r="J133" i="17"/>
  <c r="K133" i="17"/>
  <c r="L133" i="17"/>
  <c r="I134" i="17"/>
  <c r="J134" i="17"/>
  <c r="K134" i="17"/>
  <c r="L134" i="17"/>
  <c r="I135" i="17"/>
  <c r="J135" i="17"/>
  <c r="K135" i="17"/>
  <c r="L135" i="17"/>
  <c r="I136" i="17"/>
  <c r="J136" i="17"/>
  <c r="K136" i="17"/>
  <c r="L136" i="17"/>
  <c r="I137" i="17"/>
  <c r="J137" i="17"/>
  <c r="K137" i="17"/>
  <c r="L137" i="17"/>
  <c r="I138" i="17"/>
  <c r="J138" i="17"/>
  <c r="K138" i="17"/>
  <c r="L138" i="17"/>
  <c r="I139" i="17"/>
  <c r="J139" i="17"/>
  <c r="K139" i="17"/>
  <c r="L139" i="17"/>
  <c r="I140" i="17"/>
  <c r="J140" i="17"/>
  <c r="K140" i="17"/>
  <c r="L140" i="17"/>
  <c r="I141" i="17"/>
  <c r="J141" i="17"/>
  <c r="K141" i="17"/>
  <c r="L141" i="17"/>
  <c r="I142" i="17"/>
  <c r="J142" i="17"/>
  <c r="K142" i="17"/>
  <c r="L142" i="17"/>
  <c r="I143" i="17"/>
  <c r="J143" i="17"/>
  <c r="K143" i="17"/>
  <c r="L143" i="17"/>
  <c r="I144" i="17"/>
  <c r="J144" i="17"/>
  <c r="K144" i="17"/>
  <c r="L144" i="17"/>
  <c r="I145" i="17"/>
  <c r="J145" i="17"/>
  <c r="K145" i="17"/>
  <c r="L145" i="17"/>
  <c r="I146" i="17"/>
  <c r="J146" i="17"/>
  <c r="K146" i="17"/>
  <c r="L146" i="17"/>
  <c r="I147" i="17"/>
  <c r="J147" i="17"/>
  <c r="K147" i="17"/>
  <c r="L147" i="17"/>
  <c r="I148" i="17"/>
  <c r="J148" i="17"/>
  <c r="K148" i="17"/>
  <c r="L148" i="17"/>
  <c r="I149" i="17"/>
  <c r="J149" i="17"/>
  <c r="K149" i="17"/>
  <c r="L149" i="17"/>
  <c r="I150" i="17"/>
  <c r="J150" i="17"/>
  <c r="K150" i="17"/>
  <c r="L150" i="17"/>
  <c r="I151" i="17"/>
  <c r="J151" i="17"/>
  <c r="K151" i="17"/>
  <c r="L151" i="17"/>
  <c r="I152" i="17"/>
  <c r="J152" i="17"/>
  <c r="K152" i="17"/>
  <c r="L152" i="17"/>
  <c r="I153" i="17"/>
  <c r="J153" i="17"/>
  <c r="K153" i="17"/>
  <c r="L153" i="17"/>
  <c r="I154" i="17"/>
  <c r="J154" i="17"/>
  <c r="K154" i="17"/>
  <c r="L154" i="17"/>
  <c r="I155" i="17"/>
  <c r="J155" i="17"/>
  <c r="K155" i="17"/>
  <c r="L155" i="17"/>
  <c r="I156" i="17"/>
  <c r="J156" i="17"/>
  <c r="K156" i="17"/>
  <c r="L156" i="17"/>
  <c r="I157" i="17"/>
  <c r="J157" i="17"/>
  <c r="K157" i="17"/>
  <c r="L157" i="17"/>
  <c r="I158" i="17"/>
  <c r="J158" i="17"/>
  <c r="K158" i="17"/>
  <c r="L158" i="17"/>
  <c r="I159" i="17"/>
  <c r="J159" i="17"/>
  <c r="K159" i="17"/>
  <c r="L159" i="17"/>
  <c r="I160" i="17"/>
  <c r="J160" i="17"/>
  <c r="K160" i="17"/>
  <c r="L160" i="17"/>
  <c r="I161" i="17"/>
  <c r="J161" i="17"/>
  <c r="K161" i="17"/>
  <c r="L161" i="17"/>
  <c r="I162" i="17"/>
  <c r="J162" i="17"/>
  <c r="K162" i="17"/>
  <c r="L162" i="17"/>
  <c r="I163" i="17"/>
  <c r="J163" i="17"/>
  <c r="K163" i="17"/>
  <c r="L163" i="17"/>
  <c r="I164" i="17"/>
  <c r="J164" i="17"/>
  <c r="K164" i="17"/>
  <c r="L164" i="17"/>
  <c r="I165" i="17"/>
  <c r="J165" i="17"/>
  <c r="K165" i="17"/>
  <c r="L165" i="17"/>
  <c r="I166" i="17"/>
  <c r="J166" i="17"/>
  <c r="K166" i="17"/>
  <c r="L166" i="17"/>
  <c r="I167" i="17"/>
  <c r="J167" i="17"/>
  <c r="K167" i="17"/>
  <c r="L167" i="17"/>
  <c r="I168" i="17"/>
  <c r="J168" i="17"/>
  <c r="K168" i="17"/>
  <c r="L168" i="17"/>
  <c r="I169" i="17"/>
  <c r="J169" i="17"/>
  <c r="K169" i="17"/>
  <c r="L169" i="17"/>
  <c r="I170" i="17"/>
  <c r="J170" i="17"/>
  <c r="K170" i="17"/>
  <c r="L170" i="17"/>
  <c r="I171" i="17"/>
  <c r="J171" i="17"/>
  <c r="K171" i="17"/>
  <c r="L171" i="17"/>
  <c r="I172" i="17"/>
  <c r="J172" i="17"/>
  <c r="K172" i="17"/>
  <c r="L172" i="17"/>
  <c r="I173" i="17"/>
  <c r="J173" i="17"/>
  <c r="K173" i="17"/>
  <c r="L173" i="17"/>
  <c r="I174" i="17"/>
  <c r="J174" i="17"/>
  <c r="K174" i="17"/>
  <c r="L174" i="17"/>
  <c r="I175" i="17"/>
  <c r="J175" i="17"/>
  <c r="K175" i="17"/>
  <c r="L175" i="17"/>
  <c r="I176" i="17"/>
  <c r="J176" i="17"/>
  <c r="K176" i="17"/>
  <c r="L176" i="17"/>
  <c r="I177" i="17"/>
  <c r="J177" i="17"/>
  <c r="K177" i="17"/>
  <c r="L177" i="17"/>
  <c r="I178" i="17"/>
  <c r="J178" i="17"/>
  <c r="K178" i="17"/>
  <c r="L178" i="17"/>
  <c r="I179" i="17"/>
  <c r="J179" i="17"/>
  <c r="K179" i="17"/>
  <c r="L179" i="17"/>
  <c r="I180" i="17"/>
  <c r="J180" i="17"/>
  <c r="K180" i="17"/>
  <c r="L180" i="17"/>
  <c r="I181" i="17"/>
  <c r="J181" i="17"/>
  <c r="K181" i="17"/>
  <c r="L181" i="17"/>
  <c r="I182" i="17"/>
  <c r="J182" i="17"/>
  <c r="K182" i="17"/>
  <c r="L182" i="17"/>
  <c r="I183" i="17"/>
  <c r="J183" i="17"/>
  <c r="K183" i="17"/>
  <c r="L183" i="17"/>
  <c r="I184" i="17"/>
  <c r="J184" i="17"/>
  <c r="K184" i="17"/>
  <c r="L184" i="17"/>
  <c r="I185" i="17"/>
  <c r="J185" i="17"/>
  <c r="K185" i="17"/>
  <c r="L185" i="17"/>
  <c r="I186" i="17"/>
  <c r="J186" i="17"/>
  <c r="K186" i="17"/>
  <c r="L186" i="17"/>
  <c r="I187" i="17"/>
  <c r="J187" i="17"/>
  <c r="K187" i="17"/>
  <c r="L187" i="17"/>
  <c r="I188" i="17"/>
  <c r="J188" i="17"/>
  <c r="K188" i="17"/>
  <c r="L188" i="17"/>
  <c r="I189" i="17"/>
  <c r="J189" i="17"/>
  <c r="K189" i="17"/>
  <c r="L189" i="17"/>
  <c r="I190" i="17"/>
  <c r="J190" i="17"/>
  <c r="K190" i="17"/>
  <c r="L190" i="17"/>
  <c r="I191" i="17"/>
  <c r="J191" i="17"/>
  <c r="K191" i="17"/>
  <c r="L191" i="17"/>
  <c r="I192" i="17"/>
  <c r="J192" i="17"/>
  <c r="K192" i="17"/>
  <c r="L192" i="17"/>
  <c r="I193" i="17"/>
  <c r="J193" i="17"/>
  <c r="K193" i="17"/>
  <c r="L193" i="17"/>
  <c r="I194" i="17"/>
  <c r="J194" i="17"/>
  <c r="K194" i="17"/>
  <c r="L194" i="17"/>
  <c r="I195" i="17"/>
  <c r="J195" i="17"/>
  <c r="K195" i="17"/>
  <c r="L195" i="17"/>
  <c r="I196" i="17"/>
  <c r="J196" i="17"/>
  <c r="K196" i="17"/>
  <c r="L196" i="17"/>
  <c r="I197" i="17"/>
  <c r="J197" i="17"/>
  <c r="K197" i="17"/>
  <c r="L197" i="17"/>
  <c r="I198" i="17"/>
  <c r="J198" i="17"/>
  <c r="K198" i="17"/>
  <c r="L198" i="17"/>
  <c r="I199" i="17"/>
  <c r="J199" i="17"/>
  <c r="K199" i="17"/>
  <c r="L199" i="17"/>
  <c r="I200" i="17"/>
  <c r="J200" i="17"/>
  <c r="K200" i="17"/>
  <c r="L200" i="17"/>
  <c r="I201" i="17"/>
  <c r="J201" i="17"/>
  <c r="K201" i="17"/>
  <c r="L201" i="17"/>
  <c r="I202" i="17"/>
  <c r="J202" i="17"/>
  <c r="K202" i="17"/>
  <c r="L202" i="17"/>
  <c r="I203" i="17"/>
  <c r="J203" i="17"/>
  <c r="K203" i="17"/>
  <c r="L203" i="17"/>
  <c r="I204" i="17"/>
  <c r="J204" i="17"/>
  <c r="K204" i="17"/>
  <c r="L204" i="17"/>
  <c r="I205" i="17"/>
  <c r="J205" i="17"/>
  <c r="K205" i="17"/>
  <c r="L205" i="17"/>
  <c r="I206" i="17"/>
  <c r="J206" i="17"/>
  <c r="K206" i="17"/>
  <c r="L206" i="17"/>
  <c r="I207" i="17"/>
  <c r="J207" i="17"/>
  <c r="K207" i="17"/>
  <c r="L207" i="17"/>
  <c r="I208" i="17"/>
  <c r="J208" i="17"/>
  <c r="K208" i="17"/>
  <c r="L208" i="17"/>
  <c r="I209" i="17"/>
  <c r="J209" i="17"/>
  <c r="K209" i="17"/>
  <c r="L209" i="17"/>
  <c r="I210" i="17"/>
  <c r="J210" i="17"/>
  <c r="K210" i="17"/>
  <c r="L210" i="17"/>
  <c r="I211" i="17"/>
  <c r="J211" i="17"/>
  <c r="K211" i="17"/>
  <c r="L211" i="17"/>
  <c r="I212" i="17"/>
  <c r="J212" i="17"/>
  <c r="K212" i="17"/>
  <c r="L212" i="17"/>
  <c r="I213" i="17"/>
  <c r="J213" i="17"/>
  <c r="K213" i="17"/>
  <c r="L213" i="17"/>
  <c r="I214" i="17"/>
  <c r="J214" i="17"/>
  <c r="K214" i="17"/>
  <c r="L214" i="17"/>
  <c r="I215" i="17"/>
  <c r="J215" i="17"/>
  <c r="K215" i="17"/>
  <c r="L215" i="17"/>
  <c r="I216" i="17"/>
  <c r="J216" i="17"/>
  <c r="K216" i="17"/>
  <c r="L216" i="17"/>
  <c r="I217" i="17"/>
  <c r="J217" i="17"/>
  <c r="K217" i="17"/>
  <c r="L217" i="17"/>
  <c r="I218" i="17"/>
  <c r="J218" i="17"/>
  <c r="K218" i="17"/>
  <c r="L218" i="17"/>
  <c r="I219" i="17"/>
  <c r="J219" i="17"/>
  <c r="K219" i="17"/>
  <c r="L219" i="17"/>
  <c r="I220" i="17"/>
  <c r="J220" i="17"/>
  <c r="K220" i="17"/>
  <c r="L220" i="17"/>
  <c r="I221" i="17"/>
  <c r="J221" i="17"/>
  <c r="K221" i="17"/>
  <c r="L221" i="17"/>
  <c r="I222" i="17"/>
  <c r="J222" i="17"/>
  <c r="K222" i="17"/>
  <c r="L222" i="17"/>
  <c r="I223" i="17"/>
  <c r="J223" i="17"/>
  <c r="K223" i="17"/>
  <c r="L223" i="17"/>
  <c r="I224" i="17"/>
  <c r="J224" i="17"/>
  <c r="K224" i="17"/>
  <c r="L224" i="17"/>
  <c r="I225" i="17"/>
  <c r="J225" i="17"/>
  <c r="K225" i="17"/>
  <c r="L225" i="17"/>
  <c r="I226" i="17"/>
  <c r="J226" i="17"/>
  <c r="K226" i="17"/>
  <c r="L226" i="17"/>
  <c r="I227" i="17"/>
  <c r="J227" i="17"/>
  <c r="K227" i="17"/>
  <c r="L227" i="17"/>
  <c r="I228" i="17"/>
  <c r="J228" i="17"/>
  <c r="K228" i="17"/>
  <c r="L228" i="17"/>
  <c r="I229" i="17"/>
  <c r="J229" i="17"/>
  <c r="K229" i="17"/>
  <c r="L229" i="17"/>
  <c r="I230" i="17"/>
  <c r="J230" i="17"/>
  <c r="K230" i="17"/>
  <c r="L230" i="17"/>
  <c r="I231" i="17"/>
  <c r="J231" i="17"/>
  <c r="K231" i="17"/>
  <c r="L231" i="17"/>
  <c r="I232" i="17"/>
  <c r="J232" i="17"/>
  <c r="K232" i="17"/>
  <c r="L232" i="17"/>
  <c r="I233" i="17"/>
  <c r="J233" i="17"/>
  <c r="K233" i="17"/>
  <c r="L233" i="17"/>
  <c r="I234" i="17"/>
  <c r="J234" i="17"/>
  <c r="K234" i="17"/>
  <c r="L234" i="17"/>
  <c r="I235" i="17"/>
  <c r="J235" i="17"/>
  <c r="K235" i="17"/>
  <c r="L235" i="17"/>
  <c r="I236" i="17"/>
  <c r="J236" i="17"/>
  <c r="K236" i="17"/>
  <c r="L236" i="17"/>
  <c r="I237" i="17"/>
  <c r="J237" i="17"/>
  <c r="K237" i="17"/>
  <c r="L237" i="17"/>
  <c r="I238" i="17"/>
  <c r="J238" i="17"/>
  <c r="K238" i="17"/>
  <c r="L238" i="17"/>
  <c r="I239" i="17"/>
  <c r="J239" i="17"/>
  <c r="K239" i="17"/>
  <c r="L239" i="17"/>
  <c r="I240" i="17"/>
  <c r="J240" i="17"/>
  <c r="K240" i="17"/>
  <c r="L240" i="17"/>
  <c r="I241" i="17"/>
  <c r="J241" i="17"/>
  <c r="K241" i="17"/>
  <c r="L241" i="17"/>
  <c r="I242" i="17"/>
  <c r="J242" i="17"/>
  <c r="K242" i="17"/>
  <c r="L242" i="17"/>
  <c r="I243" i="17"/>
  <c r="J243" i="17"/>
  <c r="K243" i="17"/>
  <c r="L243" i="17"/>
  <c r="I244" i="17"/>
  <c r="J244" i="17"/>
  <c r="K244" i="17"/>
  <c r="L244" i="17"/>
  <c r="I245" i="17"/>
  <c r="J245" i="17"/>
  <c r="K245" i="17"/>
  <c r="L245" i="17"/>
  <c r="I246" i="17"/>
  <c r="J246" i="17"/>
  <c r="K246" i="17"/>
  <c r="L246" i="17"/>
  <c r="I247" i="17"/>
  <c r="J247" i="17"/>
  <c r="K247" i="17"/>
  <c r="L247" i="17"/>
  <c r="I248" i="17"/>
  <c r="J248" i="17"/>
  <c r="K248" i="17"/>
  <c r="L248" i="17"/>
  <c r="I249" i="17"/>
  <c r="J249" i="17"/>
  <c r="K249" i="17"/>
  <c r="L249" i="17"/>
  <c r="I250" i="17"/>
  <c r="J250" i="17"/>
  <c r="K250" i="17"/>
  <c r="L250" i="17"/>
  <c r="I251" i="17"/>
  <c r="J251" i="17"/>
  <c r="K251" i="17"/>
  <c r="L251" i="17"/>
  <c r="I252" i="17"/>
  <c r="J252" i="17"/>
  <c r="K252" i="17"/>
  <c r="L252" i="17"/>
  <c r="I253" i="17"/>
  <c r="J253" i="17"/>
  <c r="K253" i="17"/>
  <c r="L253" i="17"/>
  <c r="I254" i="17"/>
  <c r="J254" i="17"/>
  <c r="K254" i="17"/>
  <c r="L254" i="17"/>
  <c r="I255" i="17"/>
  <c r="J255" i="17"/>
  <c r="K255" i="17"/>
  <c r="L255" i="17"/>
  <c r="I256" i="17"/>
  <c r="J256" i="17"/>
  <c r="K256" i="17"/>
  <c r="L256" i="17"/>
  <c r="I257" i="17"/>
  <c r="J257" i="17"/>
  <c r="K257" i="17"/>
  <c r="L257" i="17"/>
  <c r="I258" i="17"/>
  <c r="J258" i="17"/>
  <c r="K258" i="17"/>
  <c r="L258" i="17"/>
  <c r="I259" i="17"/>
  <c r="J259" i="17"/>
  <c r="K259" i="17"/>
  <c r="L259" i="17"/>
  <c r="I260" i="17"/>
  <c r="J260" i="17"/>
  <c r="K260" i="17"/>
  <c r="L260" i="17"/>
  <c r="I261" i="17"/>
  <c r="J261" i="17"/>
  <c r="K261" i="17"/>
  <c r="L261" i="17"/>
  <c r="I262" i="17"/>
  <c r="J262" i="17"/>
  <c r="K262" i="17"/>
  <c r="L262" i="17"/>
  <c r="I263" i="17"/>
  <c r="J263" i="17"/>
  <c r="K263" i="17"/>
  <c r="L263" i="17"/>
  <c r="I264" i="17"/>
  <c r="J264" i="17"/>
  <c r="K264" i="17"/>
  <c r="L264" i="17"/>
  <c r="I265" i="17"/>
  <c r="J265" i="17"/>
  <c r="K265" i="17"/>
  <c r="L265" i="17"/>
  <c r="I266" i="17"/>
  <c r="J266" i="17"/>
  <c r="K266" i="17"/>
  <c r="L266" i="17"/>
  <c r="I267" i="17"/>
  <c r="J267" i="17"/>
  <c r="K267" i="17"/>
  <c r="L267" i="17"/>
  <c r="I268" i="17"/>
  <c r="J268" i="17"/>
  <c r="K268" i="17"/>
  <c r="L268" i="17"/>
  <c r="I269" i="17"/>
  <c r="J269" i="17"/>
  <c r="K269" i="17"/>
  <c r="L269" i="17"/>
  <c r="I270" i="17"/>
  <c r="J270" i="17"/>
  <c r="K270" i="17"/>
  <c r="L270" i="17"/>
  <c r="I271" i="17"/>
  <c r="J271" i="17"/>
  <c r="K271" i="17"/>
  <c r="L271" i="17"/>
  <c r="I272" i="17"/>
  <c r="J272" i="17"/>
  <c r="K272" i="17"/>
  <c r="L272" i="17"/>
  <c r="I273" i="17"/>
  <c r="J273" i="17"/>
  <c r="K273" i="17"/>
  <c r="L273" i="17"/>
  <c r="I274" i="17"/>
  <c r="J274" i="17"/>
  <c r="K274" i="17"/>
  <c r="L274" i="17"/>
  <c r="I275" i="17"/>
  <c r="J275" i="17"/>
  <c r="K275" i="17"/>
  <c r="L275" i="17"/>
  <c r="I276" i="17"/>
  <c r="J276" i="17"/>
  <c r="K276" i="17"/>
  <c r="L276" i="17"/>
  <c r="I277" i="17"/>
  <c r="J277" i="17"/>
  <c r="K277" i="17"/>
  <c r="L277" i="17"/>
  <c r="I278" i="17"/>
  <c r="J278" i="17"/>
  <c r="K278" i="17"/>
  <c r="L278" i="17"/>
  <c r="I279" i="17"/>
  <c r="J279" i="17"/>
  <c r="K279" i="17"/>
  <c r="L279" i="17"/>
  <c r="I280" i="17"/>
  <c r="J280" i="17"/>
  <c r="K280" i="17"/>
  <c r="L280" i="17"/>
  <c r="I281" i="17"/>
  <c r="J281" i="17"/>
  <c r="K281" i="17"/>
  <c r="L281" i="17"/>
  <c r="I282" i="17"/>
  <c r="J282" i="17"/>
  <c r="K282" i="17"/>
  <c r="L282" i="17"/>
  <c r="I283" i="17"/>
  <c r="J283" i="17"/>
  <c r="K283" i="17"/>
  <c r="L283" i="17"/>
  <c r="I284" i="17"/>
  <c r="J284" i="17"/>
  <c r="K284" i="17"/>
  <c r="L284" i="17"/>
  <c r="I285" i="17"/>
  <c r="J285" i="17"/>
  <c r="K285" i="17"/>
  <c r="L285" i="17"/>
  <c r="I286" i="17"/>
  <c r="J286" i="17"/>
  <c r="K286" i="17"/>
  <c r="L286" i="17"/>
  <c r="I287" i="17"/>
  <c r="J287" i="17"/>
  <c r="K287" i="17"/>
  <c r="L287" i="17"/>
  <c r="I288" i="17"/>
  <c r="J288" i="17"/>
  <c r="K288" i="17"/>
  <c r="L288" i="17"/>
  <c r="I289" i="17"/>
  <c r="J289" i="17"/>
  <c r="K289" i="17"/>
  <c r="L289" i="17"/>
  <c r="I290" i="17"/>
  <c r="J290" i="17"/>
  <c r="K290" i="17"/>
  <c r="L290" i="17"/>
  <c r="I291" i="17"/>
  <c r="J291" i="17"/>
  <c r="K291" i="17"/>
  <c r="L291" i="17"/>
  <c r="I292" i="17"/>
  <c r="J292" i="17"/>
  <c r="K292" i="17"/>
  <c r="L292" i="17"/>
  <c r="I293" i="17"/>
  <c r="J293" i="17"/>
  <c r="K293" i="17"/>
  <c r="L293" i="17"/>
  <c r="I294" i="17"/>
  <c r="J294" i="17"/>
  <c r="K294" i="17"/>
  <c r="L294" i="17"/>
  <c r="I295" i="17"/>
  <c r="J295" i="17"/>
  <c r="K295" i="17"/>
  <c r="L295" i="17"/>
  <c r="I296" i="17"/>
  <c r="J296" i="17"/>
  <c r="K296" i="17"/>
  <c r="L296" i="17"/>
  <c r="I297" i="17"/>
  <c r="J297" i="17"/>
  <c r="K297" i="17"/>
  <c r="L297" i="17"/>
  <c r="I298" i="17"/>
  <c r="J298" i="17"/>
  <c r="K298" i="17"/>
  <c r="L298" i="17"/>
  <c r="I299" i="17"/>
  <c r="J299" i="17"/>
  <c r="K299" i="17"/>
  <c r="L299" i="17"/>
  <c r="I300" i="17"/>
  <c r="J300" i="17"/>
  <c r="K300" i="17"/>
  <c r="L300" i="17"/>
  <c r="I301" i="17"/>
  <c r="J301" i="17"/>
  <c r="K301" i="17"/>
  <c r="L301" i="17"/>
  <c r="I302" i="17"/>
  <c r="J302" i="17"/>
  <c r="K302" i="17"/>
  <c r="L302" i="17"/>
  <c r="I303" i="17"/>
  <c r="J303" i="17"/>
  <c r="K303" i="17"/>
  <c r="L303" i="17"/>
  <c r="I304" i="17"/>
  <c r="J304" i="17"/>
  <c r="K304" i="17"/>
  <c r="L304" i="17"/>
  <c r="I305" i="17"/>
  <c r="J305" i="17"/>
  <c r="K305" i="17"/>
  <c r="L305" i="17"/>
  <c r="I306" i="17"/>
  <c r="J306" i="17"/>
  <c r="K306" i="17"/>
  <c r="L306" i="17"/>
  <c r="I307" i="17"/>
  <c r="J307" i="17"/>
  <c r="K307" i="17"/>
  <c r="L307" i="17"/>
  <c r="I308" i="17"/>
  <c r="J308" i="17"/>
  <c r="K308" i="17"/>
  <c r="L308" i="17"/>
  <c r="I309" i="17"/>
  <c r="J309" i="17"/>
  <c r="K309" i="17"/>
  <c r="L309" i="17"/>
  <c r="I310" i="17"/>
  <c r="J310" i="17"/>
  <c r="K310" i="17"/>
  <c r="L310" i="17"/>
  <c r="I311" i="17"/>
  <c r="J311" i="17"/>
  <c r="K311" i="17"/>
  <c r="L311" i="17"/>
  <c r="I312" i="17"/>
  <c r="J312" i="17"/>
  <c r="K312" i="17"/>
  <c r="L312" i="17"/>
  <c r="I313" i="17"/>
  <c r="J313" i="17"/>
  <c r="K313" i="17"/>
  <c r="L313" i="17"/>
  <c r="I314" i="17"/>
  <c r="J314" i="17"/>
  <c r="K314" i="17"/>
  <c r="L314" i="17"/>
  <c r="I315" i="17"/>
  <c r="J315" i="17"/>
  <c r="K315" i="17"/>
  <c r="L315" i="17"/>
  <c r="I316" i="17"/>
  <c r="J316" i="17"/>
  <c r="K316" i="17"/>
  <c r="L316" i="17"/>
  <c r="I317" i="17"/>
  <c r="J317" i="17"/>
  <c r="K317" i="17"/>
  <c r="L317" i="17"/>
  <c r="I318" i="17"/>
  <c r="J318" i="17"/>
  <c r="K318" i="17"/>
  <c r="L318" i="17"/>
  <c r="I319" i="17"/>
  <c r="J319" i="17"/>
  <c r="K319" i="17"/>
  <c r="L319" i="17"/>
  <c r="I320" i="17"/>
  <c r="J320" i="17"/>
  <c r="K320" i="17"/>
  <c r="L320" i="17"/>
  <c r="I321" i="17"/>
  <c r="J321" i="17"/>
  <c r="K321" i="17"/>
  <c r="L321" i="17"/>
  <c r="I322" i="17"/>
  <c r="J322" i="17"/>
  <c r="K322" i="17"/>
  <c r="L322" i="17"/>
  <c r="I323" i="17"/>
  <c r="J323" i="17"/>
  <c r="K323" i="17"/>
  <c r="L323" i="17"/>
  <c r="I324" i="17"/>
  <c r="J324" i="17"/>
  <c r="K324" i="17"/>
  <c r="L324" i="17"/>
  <c r="I325" i="17"/>
  <c r="J325" i="17"/>
  <c r="K325" i="17"/>
  <c r="L325" i="17"/>
  <c r="I326" i="17"/>
  <c r="J326" i="17"/>
  <c r="K326" i="17"/>
  <c r="L326" i="17"/>
  <c r="I327" i="17"/>
  <c r="J327" i="17"/>
  <c r="K327" i="17"/>
  <c r="L327" i="17"/>
  <c r="I328" i="17"/>
  <c r="J328" i="17"/>
  <c r="K328" i="17"/>
  <c r="L328" i="17"/>
  <c r="I329" i="17"/>
  <c r="J329" i="17"/>
  <c r="K329" i="17"/>
  <c r="L329" i="17"/>
  <c r="I330" i="17"/>
  <c r="J330" i="17"/>
  <c r="K330" i="17"/>
  <c r="L330" i="17"/>
  <c r="I331" i="17"/>
  <c r="J331" i="17"/>
  <c r="K331" i="17"/>
  <c r="L331" i="17"/>
  <c r="I332" i="17"/>
  <c r="J332" i="17"/>
  <c r="K332" i="17"/>
  <c r="L332" i="17"/>
  <c r="I333" i="17"/>
  <c r="J333" i="17"/>
  <c r="K333" i="17"/>
  <c r="L333" i="17"/>
  <c r="I334" i="17"/>
  <c r="J334" i="17"/>
  <c r="K334" i="17"/>
  <c r="L334" i="17"/>
  <c r="I335" i="17"/>
  <c r="J335" i="17"/>
  <c r="K335" i="17"/>
  <c r="L335" i="17"/>
  <c r="I336" i="17"/>
  <c r="J336" i="17"/>
  <c r="K336" i="17"/>
  <c r="L336" i="17"/>
  <c r="I337" i="17"/>
  <c r="J337" i="17"/>
  <c r="K337" i="17"/>
  <c r="L337" i="17"/>
  <c r="I338" i="17"/>
  <c r="J338" i="17"/>
  <c r="K338" i="17"/>
  <c r="L338" i="17"/>
  <c r="I339" i="17"/>
  <c r="J339" i="17"/>
  <c r="K339" i="17"/>
  <c r="L339" i="17"/>
  <c r="I340" i="17"/>
  <c r="J340" i="17"/>
  <c r="K340" i="17"/>
  <c r="L340" i="17"/>
  <c r="I341" i="17"/>
  <c r="J341" i="17"/>
  <c r="K341" i="17"/>
  <c r="L341" i="17"/>
  <c r="I342" i="17"/>
  <c r="J342" i="17"/>
  <c r="K342" i="17"/>
  <c r="L342" i="17"/>
  <c r="I343" i="17"/>
  <c r="J343" i="17"/>
  <c r="K343" i="17"/>
  <c r="L343" i="17"/>
  <c r="I344" i="17"/>
  <c r="J344" i="17"/>
  <c r="K344" i="17"/>
  <c r="L344" i="17"/>
  <c r="I345" i="17"/>
  <c r="J345" i="17"/>
  <c r="K345" i="17"/>
  <c r="L345" i="17"/>
  <c r="I346" i="17"/>
  <c r="J346" i="17"/>
  <c r="K346" i="17"/>
  <c r="L346" i="17"/>
  <c r="I347" i="17"/>
  <c r="J347" i="17"/>
  <c r="K347" i="17"/>
  <c r="L347" i="17"/>
  <c r="I348" i="17"/>
  <c r="J348" i="17"/>
  <c r="K348" i="17"/>
  <c r="L348" i="17"/>
  <c r="I349" i="17"/>
  <c r="J349" i="17"/>
  <c r="K349" i="17"/>
  <c r="L349" i="17"/>
  <c r="I350" i="17"/>
  <c r="J350" i="17"/>
  <c r="K350" i="17"/>
  <c r="L350" i="17"/>
  <c r="I351" i="17"/>
  <c r="J351" i="17"/>
  <c r="K351" i="17"/>
  <c r="L351" i="17"/>
  <c r="I352" i="17"/>
  <c r="J352" i="17"/>
  <c r="K352" i="17"/>
  <c r="L352" i="17"/>
  <c r="I353" i="17"/>
  <c r="J353" i="17"/>
  <c r="K353" i="17"/>
  <c r="L353" i="17"/>
  <c r="I354" i="17"/>
  <c r="J354" i="17"/>
  <c r="K354" i="17"/>
  <c r="L354" i="17"/>
  <c r="I355" i="17"/>
  <c r="J355" i="17"/>
  <c r="K355" i="17"/>
  <c r="L355" i="17"/>
  <c r="I356" i="17"/>
  <c r="J356" i="17"/>
  <c r="K356" i="17"/>
  <c r="L356" i="17"/>
  <c r="I357" i="17"/>
  <c r="J357" i="17"/>
  <c r="K357" i="17"/>
  <c r="L357" i="17"/>
  <c r="I358" i="17"/>
  <c r="J358" i="17"/>
  <c r="K358" i="17"/>
  <c r="L358" i="17"/>
  <c r="I359" i="17"/>
  <c r="J359" i="17"/>
  <c r="K359" i="17"/>
  <c r="L359" i="17"/>
  <c r="I360" i="17"/>
  <c r="J360" i="17"/>
  <c r="K360" i="17"/>
  <c r="L360" i="17"/>
  <c r="I361" i="17"/>
  <c r="J361" i="17"/>
  <c r="K361" i="17"/>
  <c r="L361" i="17"/>
  <c r="I362" i="17"/>
  <c r="J362" i="17"/>
  <c r="K362" i="17"/>
  <c r="L362" i="17"/>
  <c r="I363" i="17"/>
  <c r="J363" i="17"/>
  <c r="K363" i="17"/>
  <c r="L363" i="17"/>
  <c r="I364" i="17"/>
  <c r="J364" i="17"/>
  <c r="K364" i="17"/>
  <c r="L364" i="17"/>
  <c r="I365" i="17"/>
  <c r="J365" i="17"/>
  <c r="K365" i="17"/>
  <c r="L365" i="17"/>
  <c r="I366" i="17"/>
  <c r="J366" i="17"/>
  <c r="K366" i="17"/>
  <c r="L366" i="17"/>
  <c r="I367" i="17"/>
  <c r="J367" i="17"/>
  <c r="K367" i="17"/>
  <c r="L367" i="17"/>
  <c r="I368" i="17"/>
  <c r="J368" i="17"/>
  <c r="K368" i="17"/>
  <c r="L368" i="17"/>
  <c r="I369" i="17"/>
  <c r="J369" i="17"/>
  <c r="K369" i="17"/>
  <c r="L369" i="17"/>
  <c r="I370" i="17"/>
  <c r="J370" i="17"/>
  <c r="K370" i="17"/>
  <c r="L370" i="17"/>
  <c r="I371" i="17"/>
  <c r="J371" i="17"/>
  <c r="K371" i="17"/>
  <c r="L371" i="17"/>
  <c r="I372" i="17"/>
  <c r="J372" i="17"/>
  <c r="K372" i="17"/>
  <c r="L372" i="17"/>
  <c r="I373" i="17"/>
  <c r="J373" i="17"/>
  <c r="K373" i="17"/>
  <c r="L373" i="17"/>
  <c r="I374" i="17"/>
  <c r="J374" i="17"/>
  <c r="K374" i="17"/>
  <c r="L374" i="17"/>
  <c r="I375" i="17"/>
  <c r="J375" i="17"/>
  <c r="K375" i="17"/>
  <c r="L375" i="17"/>
  <c r="I376" i="17"/>
  <c r="J376" i="17"/>
  <c r="K376" i="17"/>
  <c r="L376" i="17"/>
  <c r="I377" i="17"/>
  <c r="J377" i="17"/>
  <c r="K377" i="17"/>
  <c r="L377" i="17"/>
  <c r="I378" i="17"/>
  <c r="J378" i="17"/>
  <c r="K378" i="17"/>
  <c r="L378" i="17"/>
  <c r="I379" i="17"/>
  <c r="J379" i="17"/>
  <c r="K379" i="17"/>
  <c r="L379" i="17"/>
  <c r="I380" i="17"/>
  <c r="J380" i="17"/>
  <c r="K380" i="17"/>
  <c r="L380" i="17"/>
  <c r="I381" i="17"/>
  <c r="J381" i="17"/>
  <c r="K381" i="17"/>
  <c r="L381" i="17"/>
  <c r="I382" i="17"/>
  <c r="J382" i="17"/>
  <c r="K382" i="17"/>
  <c r="L382" i="17"/>
  <c r="I383" i="17"/>
  <c r="J383" i="17"/>
  <c r="K383" i="17"/>
  <c r="L383" i="17"/>
  <c r="I384" i="17"/>
  <c r="J384" i="17"/>
  <c r="K384" i="17"/>
  <c r="L384" i="17"/>
  <c r="I385" i="17"/>
  <c r="J385" i="17"/>
  <c r="K385" i="17"/>
  <c r="L385" i="17"/>
  <c r="I386" i="17"/>
  <c r="J386" i="17"/>
  <c r="K386" i="17"/>
  <c r="L386" i="17"/>
  <c r="I387" i="17"/>
  <c r="J387" i="17"/>
  <c r="K387" i="17"/>
  <c r="L387" i="17"/>
  <c r="I388" i="17"/>
  <c r="J388" i="17"/>
  <c r="K388" i="17"/>
  <c r="L388" i="17"/>
  <c r="I389" i="17"/>
  <c r="J389" i="17"/>
  <c r="K389" i="17"/>
  <c r="L389" i="17"/>
  <c r="I390" i="17"/>
  <c r="J390" i="17"/>
  <c r="K390" i="17"/>
  <c r="L390" i="17"/>
  <c r="I391" i="17"/>
  <c r="J391" i="17"/>
  <c r="K391" i="17"/>
  <c r="L391" i="17"/>
  <c r="I392" i="17"/>
  <c r="J392" i="17"/>
  <c r="K392" i="17"/>
  <c r="L392" i="17"/>
  <c r="I393" i="17"/>
  <c r="J393" i="17"/>
  <c r="K393" i="17"/>
  <c r="L393" i="17"/>
  <c r="I394" i="17"/>
  <c r="J394" i="17"/>
  <c r="K394" i="17"/>
  <c r="L394" i="17"/>
  <c r="I395" i="17"/>
  <c r="J395" i="17"/>
  <c r="K395" i="17"/>
  <c r="L395" i="17"/>
  <c r="I396" i="17"/>
  <c r="J396" i="17"/>
  <c r="K396" i="17"/>
  <c r="L396" i="17"/>
  <c r="I397" i="17"/>
  <c r="J397" i="17"/>
  <c r="K397" i="17"/>
  <c r="L397" i="17"/>
  <c r="I398" i="17"/>
  <c r="J398" i="17"/>
  <c r="K398" i="17"/>
  <c r="L398" i="17"/>
  <c r="I399" i="17"/>
  <c r="J399" i="17"/>
  <c r="K399" i="17"/>
  <c r="L399" i="17"/>
  <c r="I400" i="17"/>
  <c r="J400" i="17"/>
  <c r="K400" i="17"/>
  <c r="L400" i="17"/>
  <c r="I401" i="17"/>
  <c r="J401" i="17"/>
  <c r="K401" i="17"/>
  <c r="L401" i="17"/>
  <c r="I402" i="17"/>
  <c r="J402" i="17"/>
  <c r="K402" i="17"/>
  <c r="L402" i="17"/>
  <c r="I403" i="17"/>
  <c r="J403" i="17"/>
  <c r="K403" i="17"/>
  <c r="L403" i="17"/>
  <c r="I404" i="17"/>
  <c r="J404" i="17"/>
  <c r="K404" i="17"/>
  <c r="L404" i="17"/>
  <c r="I405" i="17"/>
  <c r="J405" i="17"/>
  <c r="K405" i="17"/>
  <c r="L405" i="17"/>
  <c r="I406" i="17"/>
  <c r="J406" i="17"/>
  <c r="K406" i="17"/>
  <c r="L406" i="17"/>
  <c r="I407" i="17"/>
  <c r="J407" i="17"/>
  <c r="K407" i="17"/>
  <c r="L407" i="17"/>
  <c r="I408" i="17"/>
  <c r="J408" i="17"/>
  <c r="K408" i="17"/>
  <c r="L408" i="17"/>
  <c r="I409" i="17"/>
  <c r="J409" i="17"/>
  <c r="K409" i="17"/>
  <c r="L409" i="17"/>
  <c r="I410" i="17"/>
  <c r="J410" i="17"/>
  <c r="K410" i="17"/>
  <c r="L410" i="17"/>
  <c r="I411" i="17"/>
  <c r="J411" i="17"/>
  <c r="K411" i="17"/>
  <c r="L411" i="17"/>
  <c r="I412" i="17"/>
  <c r="J412" i="17"/>
  <c r="K412" i="17"/>
  <c r="L412" i="17"/>
  <c r="I413" i="17"/>
  <c r="J413" i="17"/>
  <c r="K413" i="17"/>
  <c r="L413" i="17"/>
  <c r="I414" i="17"/>
  <c r="J414" i="17"/>
  <c r="K414" i="17"/>
  <c r="L414" i="17"/>
  <c r="I415" i="17"/>
  <c r="J415" i="17"/>
  <c r="K415" i="17"/>
  <c r="L415" i="17"/>
  <c r="I416" i="17"/>
  <c r="J416" i="17"/>
  <c r="K416" i="17"/>
  <c r="L416" i="17"/>
  <c r="I417" i="17"/>
  <c r="J417" i="17"/>
  <c r="K417" i="17"/>
  <c r="L417" i="17"/>
  <c r="I418" i="17"/>
  <c r="J418" i="17"/>
  <c r="K418" i="17"/>
  <c r="L418" i="17"/>
  <c r="I419" i="17"/>
  <c r="J419" i="17"/>
  <c r="K419" i="17"/>
  <c r="L419" i="17"/>
  <c r="I420" i="17"/>
  <c r="J420" i="17"/>
  <c r="K420" i="17"/>
  <c r="L420" i="17"/>
  <c r="I421" i="17"/>
  <c r="J421" i="17"/>
  <c r="K421" i="17"/>
  <c r="L421" i="17"/>
  <c r="I422" i="17"/>
  <c r="J422" i="17"/>
  <c r="K422" i="17"/>
  <c r="L422" i="17"/>
  <c r="I423" i="17"/>
  <c r="J423" i="17"/>
  <c r="K423" i="17"/>
  <c r="L423" i="17"/>
  <c r="I424" i="17"/>
  <c r="J424" i="17"/>
  <c r="K424" i="17"/>
  <c r="L424" i="17"/>
  <c r="I425" i="17"/>
  <c r="J425" i="17"/>
  <c r="K425" i="17"/>
  <c r="L425" i="17"/>
  <c r="I426" i="17"/>
  <c r="J426" i="17"/>
  <c r="K426" i="17"/>
  <c r="L426" i="17"/>
  <c r="I427" i="17"/>
  <c r="J427" i="17"/>
  <c r="K427" i="17"/>
  <c r="L427" i="17"/>
  <c r="I428" i="17"/>
  <c r="J428" i="17"/>
  <c r="K428" i="17"/>
  <c r="L428" i="17"/>
  <c r="I429" i="17"/>
  <c r="J429" i="17"/>
  <c r="K429" i="17"/>
  <c r="L429" i="17"/>
  <c r="I430" i="17"/>
  <c r="J430" i="17"/>
  <c r="K430" i="17"/>
  <c r="L430" i="17"/>
  <c r="I431" i="17"/>
  <c r="J431" i="17"/>
  <c r="K431" i="17"/>
  <c r="L431" i="17"/>
  <c r="I432" i="17"/>
  <c r="J432" i="17"/>
  <c r="K432" i="17"/>
  <c r="L432" i="17"/>
  <c r="I433" i="17"/>
  <c r="J433" i="17"/>
  <c r="K433" i="17"/>
  <c r="L433" i="17"/>
  <c r="I434" i="17"/>
  <c r="J434" i="17"/>
  <c r="K434" i="17"/>
  <c r="L434" i="17"/>
  <c r="I435" i="17"/>
  <c r="J435" i="17"/>
  <c r="K435" i="17"/>
  <c r="L435" i="17"/>
  <c r="I436" i="17"/>
  <c r="J436" i="17"/>
  <c r="K436" i="17"/>
  <c r="L436" i="17"/>
  <c r="I437" i="17"/>
  <c r="J437" i="17"/>
  <c r="K437" i="17"/>
  <c r="L437" i="17"/>
  <c r="I438" i="17"/>
  <c r="J438" i="17"/>
  <c r="K438" i="17"/>
  <c r="L438" i="17"/>
  <c r="I439" i="17"/>
  <c r="J439" i="17"/>
  <c r="K439" i="17"/>
  <c r="L439" i="17"/>
  <c r="I440" i="17"/>
  <c r="J440" i="17"/>
  <c r="K440" i="17"/>
  <c r="L440" i="17"/>
  <c r="I441" i="17"/>
  <c r="J441" i="17"/>
  <c r="K441" i="17"/>
  <c r="L441" i="17"/>
  <c r="I442" i="17"/>
  <c r="J442" i="17"/>
  <c r="K442" i="17"/>
  <c r="L442" i="17"/>
  <c r="I443" i="17"/>
  <c r="J443" i="17"/>
  <c r="K443" i="17"/>
  <c r="L443" i="17"/>
  <c r="I444" i="17"/>
  <c r="J444" i="17"/>
  <c r="K444" i="17"/>
  <c r="L444" i="17"/>
  <c r="I445" i="17"/>
  <c r="J445" i="17"/>
  <c r="K445" i="17"/>
  <c r="L445" i="17"/>
  <c r="I446" i="17"/>
  <c r="J446" i="17"/>
  <c r="K446" i="17"/>
  <c r="L446" i="17"/>
  <c r="I447" i="17"/>
  <c r="J447" i="17"/>
  <c r="K447" i="17"/>
  <c r="L447" i="17"/>
  <c r="I448" i="17"/>
  <c r="J448" i="17"/>
  <c r="K448" i="17"/>
  <c r="L448" i="17"/>
  <c r="I449" i="17"/>
  <c r="J449" i="17"/>
  <c r="K449" i="17"/>
  <c r="L449" i="17"/>
  <c r="I450" i="17"/>
  <c r="J450" i="17"/>
  <c r="K450" i="17"/>
  <c r="L450" i="17"/>
  <c r="I451" i="17"/>
  <c r="J451" i="17"/>
  <c r="K451" i="17"/>
  <c r="L451" i="17"/>
  <c r="I452" i="17"/>
  <c r="J452" i="17"/>
  <c r="K452" i="17"/>
  <c r="L452" i="17"/>
  <c r="I453" i="17"/>
  <c r="J453" i="17"/>
  <c r="K453" i="17"/>
  <c r="L453" i="17"/>
  <c r="I454" i="17"/>
  <c r="J454" i="17"/>
  <c r="K454" i="17"/>
  <c r="L454" i="17"/>
  <c r="I455" i="17"/>
  <c r="J455" i="17"/>
  <c r="K455" i="17"/>
  <c r="L455" i="17"/>
  <c r="I456" i="17"/>
  <c r="J456" i="17"/>
  <c r="K456" i="17"/>
  <c r="L456" i="17"/>
  <c r="I457" i="17"/>
  <c r="J457" i="17"/>
  <c r="K457" i="17"/>
  <c r="L457" i="17"/>
  <c r="I458" i="17"/>
  <c r="J458" i="17"/>
  <c r="K458" i="17"/>
  <c r="L458" i="17"/>
  <c r="I459" i="17"/>
  <c r="J459" i="17"/>
  <c r="K459" i="17"/>
  <c r="L459" i="17"/>
  <c r="I460" i="17"/>
  <c r="J460" i="17"/>
  <c r="K460" i="17"/>
  <c r="L460" i="17"/>
  <c r="I461" i="17"/>
  <c r="J461" i="17"/>
  <c r="K461" i="17"/>
  <c r="L461" i="17"/>
  <c r="I462" i="17"/>
  <c r="J462" i="17"/>
  <c r="K462" i="17"/>
  <c r="L462" i="17"/>
  <c r="I463" i="17"/>
  <c r="J463" i="17"/>
  <c r="K463" i="17"/>
  <c r="L463" i="17"/>
  <c r="I464" i="17"/>
  <c r="J464" i="17"/>
  <c r="K464" i="17"/>
  <c r="L464" i="17"/>
  <c r="I465" i="17"/>
  <c r="J465" i="17"/>
  <c r="K465" i="17"/>
  <c r="L465" i="17"/>
  <c r="I466" i="17"/>
  <c r="J466" i="17"/>
  <c r="K466" i="17"/>
  <c r="L466" i="17"/>
  <c r="I467" i="17"/>
  <c r="J467" i="17"/>
  <c r="K467" i="17"/>
  <c r="L467" i="17"/>
  <c r="I468" i="17"/>
  <c r="J468" i="17"/>
  <c r="K468" i="17"/>
  <c r="L468" i="17"/>
  <c r="I469" i="17"/>
  <c r="J469" i="17"/>
  <c r="K469" i="17"/>
  <c r="L469" i="17"/>
  <c r="I470" i="17"/>
  <c r="J470" i="17"/>
  <c r="K470" i="17"/>
  <c r="L470" i="17"/>
  <c r="I471" i="17"/>
  <c r="J471" i="17"/>
  <c r="K471" i="17"/>
  <c r="L471" i="17"/>
  <c r="I472" i="17"/>
  <c r="J472" i="17"/>
  <c r="K472" i="17"/>
  <c r="L472" i="17"/>
  <c r="I473" i="17"/>
  <c r="J473" i="17"/>
  <c r="K473" i="17"/>
  <c r="L473" i="17"/>
  <c r="I474" i="17"/>
  <c r="J474" i="17"/>
  <c r="K474" i="17"/>
  <c r="L474" i="17"/>
  <c r="I475" i="17"/>
  <c r="J475" i="17"/>
  <c r="K475" i="17"/>
  <c r="L475" i="17"/>
  <c r="I476" i="17"/>
  <c r="J476" i="17"/>
  <c r="K476" i="17"/>
  <c r="L476" i="17"/>
  <c r="I477" i="17"/>
  <c r="J477" i="17"/>
  <c r="K477" i="17"/>
  <c r="L477" i="17"/>
  <c r="I478" i="17"/>
  <c r="J478" i="17"/>
  <c r="K478" i="17"/>
  <c r="L478" i="17"/>
  <c r="I479" i="17"/>
  <c r="J479" i="17"/>
  <c r="K479" i="17"/>
  <c r="L479" i="17"/>
  <c r="I480" i="17"/>
  <c r="J480" i="17"/>
  <c r="K480" i="17"/>
  <c r="L480" i="17"/>
  <c r="I481" i="17"/>
  <c r="J481" i="17"/>
  <c r="K481" i="17"/>
  <c r="L481" i="17"/>
  <c r="I482" i="17"/>
  <c r="J482" i="17"/>
  <c r="K482" i="17"/>
  <c r="L482" i="17"/>
  <c r="I483" i="17"/>
  <c r="J483" i="17"/>
  <c r="K483" i="17"/>
  <c r="L483" i="17"/>
  <c r="I484" i="17"/>
  <c r="J484" i="17"/>
  <c r="K484" i="17"/>
  <c r="L484" i="17"/>
  <c r="I485" i="17"/>
  <c r="J485" i="17"/>
  <c r="K485" i="17"/>
  <c r="L485" i="17"/>
  <c r="I486" i="17"/>
  <c r="J486" i="17"/>
  <c r="K486" i="17"/>
  <c r="L486" i="17"/>
  <c r="I487" i="17"/>
  <c r="J487" i="17"/>
  <c r="K487" i="17"/>
  <c r="L487" i="17"/>
  <c r="I488" i="17"/>
  <c r="J488" i="17"/>
  <c r="K488" i="17"/>
  <c r="L488" i="17"/>
  <c r="I489" i="17"/>
  <c r="J489" i="17"/>
  <c r="K489" i="17"/>
  <c r="L489" i="17"/>
  <c r="I490" i="17"/>
  <c r="J490" i="17"/>
  <c r="K490" i="17"/>
  <c r="L490" i="17"/>
  <c r="I491" i="17"/>
  <c r="J491" i="17"/>
  <c r="K491" i="17"/>
  <c r="L491" i="17"/>
  <c r="I492" i="17"/>
  <c r="J492" i="17"/>
  <c r="K492" i="17"/>
  <c r="L492" i="17"/>
  <c r="I493" i="17"/>
  <c r="J493" i="17"/>
  <c r="K493" i="17"/>
  <c r="L493" i="17"/>
  <c r="I494" i="17"/>
  <c r="J494" i="17"/>
  <c r="K494" i="17"/>
  <c r="L494" i="17"/>
  <c r="I495" i="17"/>
  <c r="J495" i="17"/>
  <c r="K495" i="17"/>
  <c r="L495" i="17"/>
  <c r="I496" i="17"/>
  <c r="J496" i="17"/>
  <c r="K496" i="17"/>
  <c r="L496" i="17"/>
  <c r="I497" i="17"/>
  <c r="J497" i="17"/>
  <c r="K497" i="17"/>
  <c r="L497" i="17"/>
  <c r="I498" i="17"/>
  <c r="J498" i="17"/>
  <c r="K498" i="17"/>
  <c r="L498" i="17"/>
  <c r="I499" i="17"/>
  <c r="J499" i="17"/>
  <c r="K499" i="17"/>
  <c r="L499" i="17"/>
  <c r="I500" i="17"/>
  <c r="J500" i="17"/>
  <c r="K500" i="17"/>
  <c r="L500" i="17"/>
  <c r="I501" i="17"/>
  <c r="J501" i="17"/>
  <c r="K501" i="17"/>
  <c r="L501" i="17"/>
  <c r="I502" i="17"/>
  <c r="J502" i="17"/>
  <c r="K502" i="17"/>
  <c r="L502" i="17"/>
  <c r="I503" i="17"/>
  <c r="J503" i="17"/>
  <c r="K503" i="17"/>
  <c r="L503" i="17"/>
  <c r="I504" i="17"/>
  <c r="J504" i="17"/>
  <c r="K504" i="17"/>
  <c r="L504" i="17"/>
  <c r="I505" i="17"/>
  <c r="J505" i="17"/>
  <c r="K505" i="17"/>
  <c r="L505" i="17"/>
  <c r="I506" i="17"/>
  <c r="J506" i="17"/>
  <c r="K506" i="17"/>
  <c r="L506" i="17"/>
  <c r="I507" i="17"/>
  <c r="J507" i="17"/>
  <c r="K507" i="17"/>
  <c r="L507" i="17"/>
  <c r="I508" i="17"/>
  <c r="J508" i="17"/>
  <c r="K508" i="17"/>
  <c r="L508" i="17"/>
  <c r="I509" i="17"/>
  <c r="J509" i="17"/>
  <c r="K509" i="17"/>
  <c r="L509" i="17"/>
  <c r="I510" i="17"/>
  <c r="J510" i="17"/>
  <c r="K510" i="17"/>
  <c r="L510" i="17"/>
  <c r="I511" i="17"/>
  <c r="J511" i="17"/>
  <c r="K511" i="17"/>
  <c r="L511" i="17"/>
  <c r="I512" i="17"/>
  <c r="J512" i="17"/>
  <c r="K512" i="17"/>
  <c r="L512" i="17"/>
  <c r="I513" i="17"/>
  <c r="J513" i="17"/>
  <c r="K513" i="17"/>
  <c r="L513" i="17"/>
  <c r="I514" i="17"/>
  <c r="J514" i="17"/>
  <c r="K514" i="17"/>
  <c r="L514" i="17"/>
  <c r="I515" i="17"/>
  <c r="J515" i="17"/>
  <c r="K515" i="17"/>
  <c r="L515" i="17"/>
  <c r="I516" i="17"/>
  <c r="J516" i="17"/>
  <c r="K516" i="17"/>
  <c r="L516" i="17"/>
  <c r="I517" i="17"/>
  <c r="J517" i="17"/>
  <c r="K517" i="17"/>
  <c r="L517" i="17"/>
  <c r="I518" i="17"/>
  <c r="J518" i="17"/>
  <c r="K518" i="17"/>
  <c r="L518" i="17"/>
  <c r="I519" i="17"/>
  <c r="J519" i="17"/>
  <c r="K519" i="17"/>
  <c r="L519" i="17"/>
  <c r="I520" i="17"/>
  <c r="J520" i="17"/>
  <c r="K520" i="17"/>
  <c r="L520" i="17"/>
  <c r="I521" i="17"/>
  <c r="J521" i="17"/>
  <c r="K521" i="17"/>
  <c r="L521" i="17"/>
  <c r="I522" i="17"/>
  <c r="J522" i="17"/>
  <c r="K522" i="17"/>
  <c r="L522" i="17"/>
  <c r="I523" i="17"/>
  <c r="J523" i="17"/>
  <c r="K523" i="17"/>
  <c r="L523" i="17"/>
  <c r="I524" i="17"/>
  <c r="J524" i="17"/>
  <c r="K524" i="17"/>
  <c r="L524" i="17"/>
  <c r="I525" i="17"/>
  <c r="J525" i="17"/>
  <c r="K525" i="17"/>
  <c r="L525" i="17"/>
  <c r="I526" i="17"/>
  <c r="J526" i="17"/>
  <c r="K526" i="17"/>
  <c r="L526" i="17"/>
  <c r="I527" i="17"/>
  <c r="J527" i="17"/>
  <c r="K527" i="17"/>
  <c r="L527" i="17"/>
  <c r="I528" i="17"/>
  <c r="J528" i="17"/>
  <c r="K528" i="17"/>
  <c r="L528" i="17"/>
  <c r="I529" i="17"/>
  <c r="J529" i="17"/>
  <c r="K529" i="17"/>
  <c r="L529" i="17"/>
  <c r="I530" i="17"/>
  <c r="J530" i="17"/>
  <c r="K530" i="17"/>
  <c r="L530" i="17"/>
  <c r="I531" i="17"/>
  <c r="J531" i="17"/>
  <c r="K531" i="17"/>
  <c r="L531" i="17"/>
  <c r="I532" i="17"/>
  <c r="J532" i="17"/>
  <c r="K532" i="17"/>
  <c r="L532" i="17"/>
  <c r="I533" i="17"/>
  <c r="J533" i="17"/>
  <c r="K533" i="17"/>
  <c r="L533" i="17"/>
  <c r="I534" i="17"/>
  <c r="J534" i="17"/>
  <c r="K534" i="17"/>
  <c r="L534" i="17"/>
  <c r="I535" i="17"/>
  <c r="J535" i="17"/>
  <c r="K535" i="17"/>
  <c r="L535" i="17"/>
  <c r="I536" i="17"/>
  <c r="J536" i="17"/>
  <c r="K536" i="17"/>
  <c r="L536" i="17"/>
  <c r="I537" i="17"/>
  <c r="J537" i="17"/>
  <c r="K537" i="17"/>
  <c r="L537" i="17"/>
  <c r="I538" i="17"/>
  <c r="J538" i="17"/>
  <c r="K538" i="17"/>
  <c r="L538" i="17"/>
  <c r="I539" i="17"/>
  <c r="J539" i="17"/>
  <c r="K539" i="17"/>
  <c r="L539" i="17"/>
  <c r="I540" i="17"/>
  <c r="J540" i="17"/>
  <c r="K540" i="17"/>
  <c r="L540" i="17"/>
  <c r="I541" i="17"/>
  <c r="J541" i="17"/>
  <c r="K541" i="17"/>
  <c r="L541" i="17"/>
  <c r="I542" i="17"/>
  <c r="J542" i="17"/>
  <c r="K542" i="17"/>
  <c r="L542" i="17"/>
  <c r="I543" i="17"/>
  <c r="J543" i="17"/>
  <c r="K543" i="17"/>
  <c r="L543" i="17"/>
  <c r="I544" i="17"/>
  <c r="J544" i="17"/>
  <c r="K544" i="17"/>
  <c r="L544" i="17"/>
  <c r="I545" i="17"/>
  <c r="J545" i="17"/>
  <c r="K545" i="17"/>
  <c r="L545" i="17"/>
  <c r="I546" i="17"/>
  <c r="J546" i="17"/>
  <c r="K546" i="17"/>
  <c r="L546" i="17"/>
  <c r="I547" i="17"/>
  <c r="J547" i="17"/>
  <c r="K547" i="17"/>
  <c r="L547" i="17"/>
  <c r="I548" i="17"/>
  <c r="J548" i="17"/>
  <c r="K548" i="17"/>
  <c r="L548" i="17"/>
  <c r="I549" i="17"/>
  <c r="J549" i="17"/>
  <c r="K549" i="17"/>
  <c r="L549" i="17"/>
  <c r="I550" i="17"/>
  <c r="J550" i="17"/>
  <c r="K550" i="17"/>
  <c r="L550" i="17"/>
  <c r="I551" i="17"/>
  <c r="J551" i="17"/>
  <c r="K551" i="17"/>
  <c r="L551" i="17"/>
  <c r="I552" i="17"/>
  <c r="J552" i="17"/>
  <c r="K552" i="17"/>
  <c r="L552" i="17"/>
  <c r="I553" i="17"/>
  <c r="J553" i="17"/>
  <c r="K553" i="17"/>
  <c r="L553" i="17"/>
  <c r="I554" i="17"/>
  <c r="J554" i="17"/>
  <c r="K554" i="17"/>
  <c r="L554" i="17"/>
  <c r="I555" i="17"/>
  <c r="J555" i="17"/>
  <c r="K555" i="17"/>
  <c r="L555" i="17"/>
  <c r="I556" i="17"/>
  <c r="J556" i="17"/>
  <c r="K556" i="17"/>
  <c r="L556" i="17"/>
  <c r="I557" i="17"/>
  <c r="J557" i="17"/>
  <c r="K557" i="17"/>
  <c r="L557" i="17"/>
  <c r="I558" i="17"/>
  <c r="J558" i="17"/>
  <c r="K558" i="17"/>
  <c r="L558" i="17"/>
  <c r="I559" i="17"/>
  <c r="J559" i="17"/>
  <c r="K559" i="17"/>
  <c r="L559" i="17"/>
  <c r="I560" i="17"/>
  <c r="J560" i="17"/>
  <c r="K560" i="17"/>
  <c r="L560" i="17"/>
  <c r="I561" i="17"/>
  <c r="J561" i="17"/>
  <c r="K561" i="17"/>
  <c r="L561" i="17"/>
  <c r="I562" i="17"/>
  <c r="J562" i="17"/>
  <c r="K562" i="17"/>
  <c r="L562" i="17"/>
  <c r="I563" i="17"/>
  <c r="J563" i="17"/>
  <c r="K563" i="17"/>
  <c r="L563" i="17"/>
  <c r="I564" i="17"/>
  <c r="J564" i="17"/>
  <c r="K564" i="17"/>
  <c r="L564" i="17"/>
  <c r="I565" i="17"/>
  <c r="J565" i="17"/>
  <c r="K565" i="17"/>
  <c r="L565" i="17"/>
  <c r="I566" i="17"/>
  <c r="J566" i="17"/>
  <c r="K566" i="17"/>
  <c r="L566" i="17"/>
  <c r="I567" i="17"/>
  <c r="J567" i="17"/>
  <c r="K567" i="17"/>
  <c r="L567" i="17"/>
  <c r="I568" i="17"/>
  <c r="J568" i="17"/>
  <c r="K568" i="17"/>
  <c r="L568" i="17"/>
  <c r="I569" i="17"/>
  <c r="J569" i="17"/>
  <c r="K569" i="17"/>
  <c r="L569" i="17"/>
  <c r="I570" i="17"/>
  <c r="J570" i="17"/>
  <c r="K570" i="17"/>
  <c r="L570" i="17"/>
  <c r="I571" i="17"/>
  <c r="J571" i="17"/>
  <c r="K571" i="17"/>
  <c r="L571" i="17"/>
  <c r="I572" i="17"/>
  <c r="J572" i="17"/>
  <c r="K572" i="17"/>
  <c r="L572" i="17"/>
  <c r="I573" i="17"/>
  <c r="J573" i="17"/>
  <c r="K573" i="17"/>
  <c r="L573" i="17"/>
  <c r="I574" i="17"/>
  <c r="J574" i="17"/>
  <c r="K574" i="17"/>
  <c r="L574" i="17"/>
  <c r="I575" i="17"/>
  <c r="J575" i="17"/>
  <c r="K575" i="17"/>
  <c r="L575" i="17"/>
  <c r="I576" i="17"/>
  <c r="J576" i="17"/>
  <c r="K576" i="17"/>
  <c r="L576" i="17"/>
  <c r="I577" i="17"/>
  <c r="J577" i="17"/>
  <c r="K577" i="17"/>
  <c r="L577" i="17"/>
  <c r="I578" i="17"/>
  <c r="J578" i="17"/>
  <c r="K578" i="17"/>
  <c r="L578" i="17"/>
  <c r="I579" i="17"/>
  <c r="J579" i="17"/>
  <c r="K579" i="17"/>
  <c r="L579" i="17"/>
  <c r="I580" i="17"/>
  <c r="J580" i="17"/>
  <c r="K580" i="17"/>
  <c r="L580" i="17"/>
  <c r="I581" i="17"/>
  <c r="J581" i="17"/>
  <c r="K581" i="17"/>
  <c r="L581" i="17"/>
  <c r="I582" i="17"/>
  <c r="J582" i="17"/>
  <c r="K582" i="17"/>
  <c r="L582" i="17"/>
  <c r="I583" i="17"/>
  <c r="J583" i="17"/>
  <c r="K583" i="17"/>
  <c r="L583" i="17"/>
  <c r="I584" i="17"/>
  <c r="J584" i="17"/>
  <c r="K584" i="17"/>
  <c r="L584" i="17"/>
  <c r="I585" i="17"/>
  <c r="J585" i="17"/>
  <c r="K585" i="17"/>
  <c r="L585" i="17"/>
  <c r="I586" i="17"/>
  <c r="J586" i="17"/>
  <c r="K586" i="17"/>
  <c r="L586" i="17"/>
  <c r="I587" i="17"/>
  <c r="J587" i="17"/>
  <c r="K587" i="17"/>
  <c r="L587" i="17"/>
  <c r="I588" i="17"/>
  <c r="J588" i="17"/>
  <c r="K588" i="17"/>
  <c r="L588" i="17"/>
  <c r="I589" i="17"/>
  <c r="J589" i="17"/>
  <c r="K589" i="17"/>
  <c r="L589" i="17"/>
  <c r="I590" i="17"/>
  <c r="J590" i="17"/>
  <c r="K590" i="17"/>
  <c r="L590" i="17"/>
  <c r="I591" i="17"/>
  <c r="J591" i="17"/>
  <c r="K591" i="17"/>
  <c r="L591" i="17"/>
  <c r="I592" i="17"/>
  <c r="J592" i="17"/>
  <c r="K592" i="17"/>
  <c r="L592" i="17"/>
  <c r="I593" i="17"/>
  <c r="J593" i="17"/>
  <c r="K593" i="17"/>
  <c r="L593" i="17"/>
  <c r="I594" i="17"/>
  <c r="J594" i="17"/>
  <c r="K594" i="17"/>
  <c r="L594" i="17"/>
  <c r="I595" i="17"/>
  <c r="J595" i="17"/>
  <c r="K595" i="17"/>
  <c r="L595" i="17"/>
  <c r="I596" i="17"/>
  <c r="J596" i="17"/>
  <c r="K596" i="17"/>
  <c r="L596" i="17"/>
  <c r="I597" i="17"/>
  <c r="J597" i="17"/>
  <c r="K597" i="17"/>
  <c r="L597" i="17"/>
  <c r="I598" i="17"/>
  <c r="J598" i="17"/>
  <c r="K598" i="17"/>
  <c r="L598" i="17"/>
  <c r="I599" i="17"/>
  <c r="J599" i="17"/>
  <c r="K599" i="17"/>
  <c r="L599" i="17"/>
  <c r="I600" i="17"/>
  <c r="J600" i="17"/>
  <c r="K600" i="17"/>
  <c r="L600" i="17"/>
  <c r="I601" i="17"/>
  <c r="J601" i="17"/>
  <c r="K601" i="17"/>
  <c r="L601" i="17"/>
  <c r="I602" i="17"/>
  <c r="J602" i="17"/>
  <c r="K602" i="17"/>
  <c r="L602" i="17"/>
  <c r="I603" i="17"/>
  <c r="J603" i="17"/>
  <c r="K603" i="17"/>
  <c r="L603" i="17"/>
  <c r="I604" i="17"/>
  <c r="J604" i="17"/>
  <c r="K604" i="17"/>
  <c r="L604" i="17"/>
  <c r="I605" i="17"/>
  <c r="J605" i="17"/>
  <c r="K605" i="17"/>
  <c r="L605" i="17"/>
  <c r="I606" i="17"/>
  <c r="J606" i="17"/>
  <c r="K606" i="17"/>
  <c r="L606" i="17"/>
  <c r="I607" i="17"/>
  <c r="J607" i="17"/>
  <c r="K607" i="17"/>
  <c r="L607" i="17"/>
  <c r="I608" i="17"/>
  <c r="J608" i="17"/>
  <c r="K608" i="17"/>
  <c r="L608" i="17"/>
  <c r="I609" i="17"/>
  <c r="J609" i="17"/>
  <c r="K609" i="17"/>
  <c r="L609" i="17"/>
  <c r="I610" i="17"/>
  <c r="J610" i="17"/>
  <c r="K610" i="17"/>
  <c r="L610" i="17"/>
  <c r="I611" i="17"/>
  <c r="J611" i="17"/>
  <c r="K611" i="17"/>
  <c r="L611" i="17"/>
  <c r="I612" i="17"/>
  <c r="J612" i="17"/>
  <c r="K612" i="17"/>
  <c r="L612" i="17"/>
  <c r="I613" i="17"/>
  <c r="J613" i="17"/>
  <c r="K613" i="17"/>
  <c r="L613" i="17"/>
  <c r="I614" i="17"/>
  <c r="J614" i="17"/>
  <c r="K614" i="17"/>
  <c r="L614" i="17"/>
  <c r="I615" i="17"/>
  <c r="J615" i="17"/>
  <c r="K615" i="17"/>
  <c r="L615" i="17"/>
  <c r="I616" i="17"/>
  <c r="J616" i="17"/>
  <c r="K616" i="17"/>
  <c r="L616" i="17"/>
  <c r="I617" i="17"/>
  <c r="J617" i="17"/>
  <c r="K617" i="17"/>
  <c r="L617" i="17"/>
  <c r="I618" i="17"/>
  <c r="J618" i="17"/>
  <c r="K618" i="17"/>
  <c r="L618" i="17"/>
  <c r="I619" i="17"/>
  <c r="J619" i="17"/>
  <c r="K619" i="17"/>
  <c r="L619" i="17"/>
  <c r="I620" i="17"/>
  <c r="J620" i="17"/>
  <c r="K620" i="17"/>
  <c r="L620" i="17"/>
  <c r="I621" i="17"/>
  <c r="J621" i="17"/>
  <c r="K621" i="17"/>
  <c r="L621" i="17"/>
  <c r="I622" i="17"/>
  <c r="J622" i="17"/>
  <c r="K622" i="17"/>
  <c r="L622" i="17"/>
  <c r="I623" i="17"/>
  <c r="J623" i="17"/>
  <c r="K623" i="17"/>
  <c r="L623" i="17"/>
  <c r="I624" i="17"/>
  <c r="J624" i="17"/>
  <c r="K624" i="17"/>
  <c r="L624" i="17"/>
  <c r="I625" i="17"/>
  <c r="J625" i="17"/>
  <c r="K625" i="17"/>
  <c r="L625" i="17"/>
  <c r="I626" i="17"/>
  <c r="J626" i="17"/>
  <c r="K626" i="17"/>
  <c r="L626" i="17"/>
  <c r="I627" i="17"/>
  <c r="J627" i="17"/>
  <c r="K627" i="17"/>
  <c r="L627" i="17"/>
  <c r="I628" i="17"/>
  <c r="J628" i="17"/>
  <c r="K628" i="17"/>
  <c r="L628" i="17"/>
  <c r="I629" i="17"/>
  <c r="J629" i="17"/>
  <c r="K629" i="17"/>
  <c r="L629" i="17"/>
  <c r="I630" i="17"/>
  <c r="J630" i="17"/>
  <c r="K630" i="17"/>
  <c r="L630" i="17"/>
  <c r="I631" i="17"/>
  <c r="J631" i="17"/>
  <c r="K631" i="17"/>
  <c r="L631" i="17"/>
  <c r="I632" i="17"/>
  <c r="J632" i="17"/>
  <c r="K632" i="17"/>
  <c r="L632" i="17"/>
  <c r="I633" i="17"/>
  <c r="J633" i="17"/>
  <c r="K633" i="17"/>
  <c r="L633" i="17"/>
  <c r="I634" i="17"/>
  <c r="J634" i="17"/>
  <c r="K634" i="17"/>
  <c r="L634" i="17"/>
  <c r="I635" i="17"/>
  <c r="J635" i="17"/>
  <c r="K635" i="17"/>
  <c r="L635" i="17"/>
  <c r="I636" i="17"/>
  <c r="J636" i="17"/>
  <c r="K636" i="17"/>
  <c r="L636" i="17"/>
  <c r="I637" i="17"/>
  <c r="J637" i="17"/>
  <c r="K637" i="17"/>
  <c r="L637" i="17"/>
  <c r="I638" i="17"/>
  <c r="J638" i="17"/>
  <c r="K638" i="17"/>
  <c r="L638" i="17"/>
  <c r="I639" i="17"/>
  <c r="J639" i="17"/>
  <c r="K639" i="17"/>
  <c r="L639" i="17"/>
  <c r="I640" i="17"/>
  <c r="J640" i="17"/>
  <c r="K640" i="17"/>
  <c r="L640" i="17"/>
  <c r="I641" i="17"/>
  <c r="J641" i="17"/>
  <c r="K641" i="17"/>
  <c r="L641" i="17"/>
  <c r="I642" i="17"/>
  <c r="J642" i="17"/>
  <c r="K642" i="17"/>
  <c r="L642" i="17"/>
  <c r="I643" i="17"/>
  <c r="J643" i="17"/>
  <c r="K643" i="17"/>
  <c r="L643" i="17"/>
  <c r="I644" i="17"/>
  <c r="J644" i="17"/>
  <c r="K644" i="17"/>
  <c r="L644" i="17"/>
  <c r="I645" i="17"/>
  <c r="J645" i="17"/>
  <c r="K645" i="17"/>
  <c r="L645" i="17"/>
  <c r="I646" i="17"/>
  <c r="J646" i="17"/>
  <c r="K646" i="17"/>
  <c r="L646" i="17"/>
  <c r="I647" i="17"/>
  <c r="J647" i="17"/>
  <c r="K647" i="17"/>
  <c r="L647" i="17"/>
  <c r="I648" i="17"/>
  <c r="J648" i="17"/>
  <c r="K648" i="17"/>
  <c r="L648" i="17"/>
  <c r="I649" i="17"/>
  <c r="J649" i="17"/>
  <c r="K649" i="17"/>
  <c r="L649" i="17"/>
  <c r="I650" i="17"/>
  <c r="J650" i="17"/>
  <c r="K650" i="17"/>
  <c r="L650" i="17"/>
  <c r="I651" i="17"/>
  <c r="J651" i="17"/>
  <c r="K651" i="17"/>
  <c r="L651" i="17"/>
  <c r="I652" i="17"/>
  <c r="J652" i="17"/>
  <c r="K652" i="17"/>
  <c r="L652" i="17"/>
  <c r="I653" i="17"/>
  <c r="J653" i="17"/>
  <c r="K653" i="17"/>
  <c r="L653" i="17"/>
  <c r="I654" i="17"/>
  <c r="J654" i="17"/>
  <c r="K654" i="17"/>
  <c r="L654" i="17"/>
  <c r="I655" i="17"/>
  <c r="J655" i="17"/>
  <c r="K655" i="17"/>
  <c r="L655" i="17"/>
  <c r="I656" i="17"/>
  <c r="J656" i="17"/>
  <c r="K656" i="17"/>
  <c r="L656" i="17"/>
  <c r="I657" i="17"/>
  <c r="J657" i="17"/>
  <c r="K657" i="17"/>
  <c r="L657" i="17"/>
  <c r="I658" i="17"/>
  <c r="J658" i="17"/>
  <c r="K658" i="17"/>
  <c r="L658" i="17"/>
  <c r="I659" i="17"/>
  <c r="J659" i="17"/>
  <c r="K659" i="17"/>
  <c r="L659" i="17"/>
  <c r="I660" i="17"/>
  <c r="J660" i="17"/>
  <c r="K660" i="17"/>
  <c r="L660" i="17"/>
  <c r="I661" i="17"/>
  <c r="J661" i="17"/>
  <c r="K661" i="17"/>
  <c r="L661" i="17"/>
  <c r="I662" i="17"/>
  <c r="J662" i="17"/>
  <c r="K662" i="17"/>
  <c r="L662" i="17"/>
  <c r="I663" i="17"/>
  <c r="J663" i="17"/>
  <c r="K663" i="17"/>
  <c r="L663" i="17"/>
  <c r="I664" i="17"/>
  <c r="J664" i="17"/>
  <c r="K664" i="17"/>
  <c r="L664" i="17"/>
  <c r="I665" i="17"/>
  <c r="J665" i="17"/>
  <c r="K665" i="17"/>
  <c r="L665" i="17"/>
  <c r="I666" i="17"/>
  <c r="J666" i="17"/>
  <c r="K666" i="17"/>
  <c r="L666" i="17"/>
  <c r="I667" i="17"/>
  <c r="J667" i="17"/>
  <c r="K667" i="17"/>
  <c r="L667" i="17"/>
  <c r="I668" i="17"/>
  <c r="J668" i="17"/>
  <c r="K668" i="17"/>
  <c r="L668" i="17"/>
  <c r="I669" i="17"/>
  <c r="J669" i="17"/>
  <c r="K669" i="17"/>
  <c r="L669" i="17"/>
  <c r="I670" i="17"/>
  <c r="J670" i="17"/>
  <c r="K670" i="17"/>
  <c r="L670" i="17"/>
  <c r="I671" i="17"/>
  <c r="J671" i="17"/>
  <c r="K671" i="17"/>
  <c r="L671" i="17"/>
  <c r="I672" i="17"/>
  <c r="J672" i="17"/>
  <c r="K672" i="17"/>
  <c r="L672" i="17"/>
  <c r="I673" i="17"/>
  <c r="J673" i="17"/>
  <c r="K673" i="17"/>
  <c r="L673" i="17"/>
  <c r="I674" i="17"/>
  <c r="J674" i="17"/>
  <c r="K674" i="17"/>
  <c r="L674" i="17"/>
  <c r="I675" i="17"/>
  <c r="J675" i="17"/>
  <c r="K675" i="17"/>
  <c r="L675" i="17"/>
  <c r="I676" i="17"/>
  <c r="J676" i="17"/>
  <c r="K676" i="17"/>
  <c r="L676" i="17"/>
  <c r="I677" i="17"/>
  <c r="J677" i="17"/>
  <c r="K677" i="17"/>
  <c r="L677" i="17"/>
  <c r="I678" i="17"/>
  <c r="J678" i="17"/>
  <c r="K678" i="17"/>
  <c r="L678" i="17"/>
  <c r="I679" i="17"/>
  <c r="J679" i="17"/>
  <c r="K679" i="17"/>
  <c r="L679" i="17"/>
  <c r="I680" i="17"/>
  <c r="J680" i="17"/>
  <c r="K680" i="17"/>
  <c r="L680" i="17"/>
  <c r="I681" i="17"/>
  <c r="J681" i="17"/>
  <c r="K681" i="17"/>
  <c r="L681" i="17"/>
  <c r="I682" i="17"/>
  <c r="J682" i="17"/>
  <c r="K682" i="17"/>
  <c r="L682" i="17"/>
  <c r="I683" i="17"/>
  <c r="J683" i="17"/>
  <c r="K683" i="17"/>
  <c r="L683" i="17"/>
  <c r="I684" i="17"/>
  <c r="J684" i="17"/>
  <c r="K684" i="17"/>
  <c r="L684" i="17"/>
  <c r="I685" i="17"/>
  <c r="J685" i="17"/>
  <c r="K685" i="17"/>
  <c r="L685" i="17"/>
  <c r="I686" i="17"/>
  <c r="J686" i="17"/>
  <c r="K686" i="17"/>
  <c r="L686" i="17"/>
  <c r="I687" i="17"/>
  <c r="J687" i="17"/>
  <c r="K687" i="17"/>
  <c r="L687" i="17"/>
  <c r="I688" i="17"/>
  <c r="J688" i="17"/>
  <c r="K688" i="17"/>
  <c r="L688" i="17"/>
  <c r="I689" i="17"/>
  <c r="J689" i="17"/>
  <c r="K689" i="17"/>
  <c r="L689" i="17"/>
  <c r="I690" i="17"/>
  <c r="J690" i="17"/>
  <c r="K690" i="17"/>
  <c r="L690" i="17"/>
  <c r="I691" i="17"/>
  <c r="J691" i="17"/>
  <c r="K691" i="17"/>
  <c r="L691" i="17"/>
  <c r="I692" i="17"/>
  <c r="J692" i="17"/>
  <c r="K692" i="17"/>
  <c r="L692" i="17"/>
  <c r="I693" i="17"/>
  <c r="J693" i="17"/>
  <c r="K693" i="17"/>
  <c r="L693" i="17"/>
  <c r="I694" i="17"/>
  <c r="J694" i="17"/>
  <c r="K694" i="17"/>
  <c r="L694" i="17"/>
  <c r="I695" i="17"/>
  <c r="J695" i="17"/>
  <c r="K695" i="17"/>
  <c r="L695" i="17"/>
  <c r="I696" i="17"/>
  <c r="J696" i="17"/>
  <c r="K696" i="17"/>
  <c r="L696" i="17"/>
  <c r="I697" i="17"/>
  <c r="J697" i="17"/>
  <c r="K697" i="17"/>
  <c r="L697" i="17"/>
  <c r="I698" i="17"/>
  <c r="J698" i="17"/>
  <c r="K698" i="17"/>
  <c r="L698" i="17"/>
  <c r="I699" i="17"/>
  <c r="J699" i="17"/>
  <c r="K699" i="17"/>
  <c r="L699" i="17"/>
  <c r="I700" i="17"/>
  <c r="J700" i="17"/>
  <c r="K700" i="17"/>
  <c r="L700" i="17"/>
  <c r="I701" i="17"/>
  <c r="J701" i="17"/>
  <c r="K701" i="17"/>
  <c r="L701" i="17"/>
  <c r="I702" i="17"/>
  <c r="J702" i="17"/>
  <c r="K702" i="17"/>
  <c r="L702" i="17"/>
  <c r="I703" i="17"/>
  <c r="J703" i="17"/>
  <c r="K703" i="17"/>
  <c r="L703" i="17"/>
  <c r="I704" i="17"/>
  <c r="J704" i="17"/>
  <c r="K704" i="17"/>
  <c r="L704" i="17"/>
  <c r="I705" i="17"/>
  <c r="J705" i="17"/>
  <c r="K705" i="17"/>
  <c r="L705" i="17"/>
  <c r="I706" i="17"/>
  <c r="J706" i="17"/>
  <c r="K706" i="17"/>
  <c r="L706" i="17"/>
  <c r="I707" i="17"/>
  <c r="J707" i="17"/>
  <c r="K707" i="17"/>
  <c r="L707" i="17"/>
  <c r="I708" i="17"/>
  <c r="J708" i="17"/>
  <c r="K708" i="17"/>
  <c r="L708" i="17"/>
  <c r="I709" i="17"/>
  <c r="J709" i="17"/>
  <c r="K709" i="17"/>
  <c r="L709" i="17"/>
  <c r="I710" i="17"/>
  <c r="J710" i="17"/>
  <c r="K710" i="17"/>
  <c r="L710" i="17"/>
  <c r="I711" i="17"/>
  <c r="J711" i="17"/>
  <c r="K711" i="17"/>
  <c r="L711" i="17"/>
  <c r="I712" i="17"/>
  <c r="J712" i="17"/>
  <c r="K712" i="17"/>
  <c r="L712" i="17"/>
  <c r="I713" i="17"/>
  <c r="J713" i="17"/>
  <c r="K713" i="17"/>
  <c r="L713" i="17"/>
  <c r="I714" i="17"/>
  <c r="J714" i="17"/>
  <c r="K714" i="17"/>
  <c r="L714" i="17"/>
  <c r="I715" i="17"/>
  <c r="J715" i="17"/>
  <c r="K715" i="17"/>
  <c r="L715" i="17"/>
  <c r="I716" i="17"/>
  <c r="J716" i="17"/>
  <c r="K716" i="17"/>
  <c r="L716" i="17"/>
  <c r="I717" i="17"/>
  <c r="J717" i="17"/>
  <c r="K717" i="17"/>
  <c r="L717" i="17"/>
  <c r="I718" i="17"/>
  <c r="J718" i="17"/>
  <c r="K718" i="17"/>
  <c r="L718" i="17"/>
  <c r="I719" i="17"/>
  <c r="J719" i="17"/>
  <c r="K719" i="17"/>
  <c r="L719" i="17"/>
  <c r="I720" i="17"/>
  <c r="J720" i="17"/>
  <c r="K720" i="17"/>
  <c r="L720" i="17"/>
  <c r="I721" i="17"/>
  <c r="J721" i="17"/>
  <c r="K721" i="17"/>
  <c r="L721" i="17"/>
  <c r="I722" i="17"/>
  <c r="J722" i="17"/>
  <c r="K722" i="17"/>
  <c r="L722" i="17"/>
  <c r="I723" i="17"/>
  <c r="J723" i="17"/>
  <c r="K723" i="17"/>
  <c r="L723" i="17"/>
  <c r="I724" i="17"/>
  <c r="J724" i="17"/>
  <c r="K724" i="17"/>
  <c r="L724" i="17"/>
  <c r="I725" i="17"/>
  <c r="J725" i="17"/>
  <c r="K725" i="17"/>
  <c r="L725" i="17"/>
  <c r="I726" i="17"/>
  <c r="J726" i="17"/>
  <c r="K726" i="17"/>
  <c r="L726" i="17"/>
  <c r="I727" i="17"/>
  <c r="J727" i="17"/>
  <c r="K727" i="17"/>
  <c r="L727" i="17"/>
  <c r="I728" i="17"/>
  <c r="J728" i="17"/>
  <c r="K728" i="17"/>
  <c r="L728" i="17"/>
  <c r="I729" i="17"/>
  <c r="J729" i="17"/>
  <c r="K729" i="17"/>
  <c r="L729" i="17"/>
  <c r="I730" i="17"/>
  <c r="J730" i="17"/>
  <c r="K730" i="17"/>
  <c r="L730" i="17"/>
  <c r="I731" i="17"/>
  <c r="J731" i="17"/>
  <c r="K731" i="17"/>
  <c r="L731" i="17"/>
  <c r="I732" i="17"/>
  <c r="J732" i="17"/>
  <c r="K732" i="17"/>
  <c r="L732" i="17"/>
  <c r="I733" i="17"/>
  <c r="J733" i="17"/>
  <c r="K733" i="17"/>
  <c r="L733" i="17"/>
  <c r="I734" i="17"/>
  <c r="J734" i="17"/>
  <c r="K734" i="17"/>
  <c r="L734" i="17"/>
  <c r="I735" i="17"/>
  <c r="J735" i="17"/>
  <c r="K735" i="17"/>
  <c r="L735" i="17"/>
  <c r="I736" i="17"/>
  <c r="J736" i="17"/>
  <c r="K736" i="17"/>
  <c r="L736" i="17"/>
  <c r="I737" i="17"/>
  <c r="J737" i="17"/>
  <c r="K737" i="17"/>
  <c r="L737" i="17"/>
  <c r="I738" i="17"/>
  <c r="J738" i="17"/>
  <c r="K738" i="17"/>
  <c r="L738" i="17"/>
  <c r="I739" i="17"/>
  <c r="J739" i="17"/>
  <c r="K739" i="17"/>
  <c r="L739" i="17"/>
  <c r="I740" i="17"/>
  <c r="J740" i="17"/>
  <c r="K740" i="17"/>
  <c r="L740" i="17"/>
  <c r="I741" i="17"/>
  <c r="J741" i="17"/>
  <c r="K741" i="17"/>
  <c r="L741" i="17"/>
  <c r="I742" i="17"/>
  <c r="J742" i="17"/>
  <c r="K742" i="17"/>
  <c r="L742" i="17"/>
  <c r="I743" i="17"/>
  <c r="J743" i="17"/>
  <c r="K743" i="17"/>
  <c r="L743" i="17"/>
  <c r="I744" i="17"/>
  <c r="J744" i="17"/>
  <c r="K744" i="17"/>
  <c r="L744" i="17"/>
  <c r="I745" i="17"/>
  <c r="J745" i="17"/>
  <c r="K745" i="17"/>
  <c r="L745" i="17"/>
  <c r="I746" i="17"/>
  <c r="J746" i="17"/>
  <c r="K746" i="17"/>
  <c r="L746" i="17"/>
  <c r="I747" i="17"/>
  <c r="J747" i="17"/>
  <c r="K747" i="17"/>
  <c r="L747" i="17"/>
  <c r="I748" i="17"/>
  <c r="J748" i="17"/>
  <c r="K748" i="17"/>
  <c r="L748" i="17"/>
  <c r="I749" i="17"/>
  <c r="J749" i="17"/>
  <c r="K749" i="17"/>
  <c r="L749" i="17"/>
  <c r="I750" i="17"/>
  <c r="J750" i="17"/>
  <c r="K750" i="17"/>
  <c r="L750" i="17"/>
  <c r="I751" i="17"/>
  <c r="J751" i="17"/>
  <c r="K751" i="17"/>
  <c r="L751" i="17"/>
  <c r="I752" i="17"/>
  <c r="J752" i="17"/>
  <c r="K752" i="17"/>
  <c r="L752" i="17"/>
  <c r="I753" i="17"/>
  <c r="J753" i="17"/>
  <c r="K753" i="17"/>
  <c r="L753" i="17"/>
  <c r="I754" i="17"/>
  <c r="J754" i="17"/>
  <c r="K754" i="17"/>
  <c r="L754" i="17"/>
  <c r="I755" i="17"/>
  <c r="J755" i="17"/>
  <c r="K755" i="17"/>
  <c r="L755" i="17"/>
  <c r="I756" i="17"/>
  <c r="J756" i="17"/>
  <c r="K756" i="17"/>
  <c r="L756" i="17"/>
  <c r="I757" i="17"/>
  <c r="J757" i="17"/>
  <c r="K757" i="17"/>
  <c r="L757" i="17"/>
  <c r="I758" i="17"/>
  <c r="J758" i="17"/>
  <c r="K758" i="17"/>
  <c r="L758" i="17"/>
  <c r="I759" i="17"/>
  <c r="J759" i="17"/>
  <c r="K759" i="17"/>
  <c r="L759" i="17"/>
  <c r="I760" i="17"/>
  <c r="J760" i="17"/>
  <c r="K760" i="17"/>
  <c r="L760" i="17"/>
  <c r="I761" i="17"/>
  <c r="J761" i="17"/>
  <c r="K761" i="17"/>
  <c r="L761" i="17"/>
  <c r="I762" i="17"/>
  <c r="J762" i="17"/>
  <c r="K762" i="17"/>
  <c r="L762" i="17"/>
  <c r="I763" i="17"/>
  <c r="J763" i="17"/>
  <c r="K763" i="17"/>
  <c r="L763" i="17"/>
  <c r="I764" i="17"/>
  <c r="J764" i="17"/>
  <c r="K764" i="17"/>
  <c r="L764" i="17"/>
  <c r="I765" i="17"/>
  <c r="J765" i="17"/>
  <c r="K765" i="17"/>
  <c r="L765" i="17"/>
  <c r="I766" i="17"/>
  <c r="J766" i="17"/>
  <c r="K766" i="17"/>
  <c r="L766" i="17"/>
  <c r="I767" i="17"/>
  <c r="J767" i="17"/>
  <c r="K767" i="17"/>
  <c r="L767" i="17"/>
  <c r="I768" i="17"/>
  <c r="J768" i="17"/>
  <c r="K768" i="17"/>
  <c r="L768" i="17"/>
  <c r="I769" i="17"/>
  <c r="J769" i="17"/>
  <c r="K769" i="17"/>
  <c r="L769" i="17"/>
  <c r="I770" i="17"/>
  <c r="J770" i="17"/>
  <c r="K770" i="17"/>
  <c r="L770" i="17"/>
  <c r="I771" i="17"/>
  <c r="J771" i="17"/>
  <c r="K771" i="17"/>
  <c r="L771" i="17"/>
  <c r="I772" i="17"/>
  <c r="J772" i="17"/>
  <c r="K772" i="17"/>
  <c r="L772" i="17"/>
  <c r="I773" i="17"/>
  <c r="J773" i="17"/>
  <c r="K773" i="17"/>
  <c r="L773" i="17"/>
  <c r="I774" i="17"/>
  <c r="J774" i="17"/>
  <c r="K774" i="17"/>
  <c r="L774" i="17"/>
  <c r="I775" i="17"/>
  <c r="J775" i="17"/>
  <c r="K775" i="17"/>
  <c r="L775" i="17"/>
  <c r="I776" i="17"/>
  <c r="J776" i="17"/>
  <c r="K776" i="17"/>
  <c r="L776" i="17"/>
  <c r="I777" i="17"/>
  <c r="J777" i="17"/>
  <c r="K777" i="17"/>
  <c r="L777" i="17"/>
  <c r="I778" i="17"/>
  <c r="J778" i="17"/>
  <c r="K778" i="17"/>
  <c r="L778" i="17"/>
  <c r="I779" i="17"/>
  <c r="J779" i="17"/>
  <c r="K779" i="17"/>
  <c r="L779" i="17"/>
  <c r="I780" i="17"/>
  <c r="J780" i="17"/>
  <c r="K780" i="17"/>
  <c r="L780" i="17"/>
  <c r="I781" i="17"/>
  <c r="J781" i="17"/>
  <c r="K781" i="17"/>
  <c r="L781" i="17"/>
  <c r="I782" i="17"/>
  <c r="J782" i="17"/>
  <c r="K782" i="17"/>
  <c r="L782" i="17"/>
  <c r="I783" i="17"/>
  <c r="J783" i="17"/>
  <c r="K783" i="17"/>
  <c r="L783" i="17"/>
  <c r="I784" i="17"/>
  <c r="J784" i="17"/>
  <c r="K784" i="17"/>
  <c r="L784" i="17"/>
  <c r="I785" i="17"/>
  <c r="J785" i="17"/>
  <c r="K785" i="17"/>
  <c r="L785" i="17"/>
  <c r="I786" i="17"/>
  <c r="J786" i="17"/>
  <c r="K786" i="17"/>
  <c r="L786" i="17"/>
  <c r="I787" i="17"/>
  <c r="J787" i="17"/>
  <c r="K787" i="17"/>
  <c r="L787" i="17"/>
  <c r="I788" i="17"/>
  <c r="J788" i="17"/>
  <c r="K788" i="17"/>
  <c r="L788" i="17"/>
  <c r="I789" i="17"/>
  <c r="J789" i="17"/>
  <c r="K789" i="17"/>
  <c r="L789" i="17"/>
  <c r="I790" i="17"/>
  <c r="J790" i="17"/>
  <c r="K790" i="17"/>
  <c r="L790" i="17"/>
  <c r="I791" i="17"/>
  <c r="J791" i="17"/>
  <c r="K791" i="17"/>
  <c r="L791" i="17"/>
  <c r="I792" i="17"/>
  <c r="J792" i="17"/>
  <c r="K792" i="17"/>
  <c r="L792" i="17"/>
  <c r="I793" i="17"/>
  <c r="J793" i="17"/>
  <c r="K793" i="17"/>
  <c r="L793" i="17"/>
  <c r="I794" i="17"/>
  <c r="J794" i="17"/>
  <c r="K794" i="17"/>
  <c r="L794" i="17"/>
  <c r="I795" i="17"/>
  <c r="J795" i="17"/>
  <c r="K795" i="17"/>
  <c r="L795" i="17"/>
  <c r="I796" i="17"/>
  <c r="J796" i="17"/>
  <c r="K796" i="17"/>
  <c r="L796" i="17"/>
  <c r="I797" i="17"/>
  <c r="J797" i="17"/>
  <c r="K797" i="17"/>
  <c r="L797" i="17"/>
  <c r="I798" i="17"/>
  <c r="J798" i="17"/>
  <c r="K798" i="17"/>
  <c r="L798" i="17"/>
  <c r="I799" i="17"/>
  <c r="J799" i="17"/>
  <c r="K799" i="17"/>
  <c r="L799" i="17"/>
  <c r="I800" i="17"/>
  <c r="J800" i="17"/>
  <c r="K800" i="17"/>
  <c r="L800" i="17"/>
  <c r="I801" i="17"/>
  <c r="J801" i="17"/>
  <c r="K801" i="17"/>
  <c r="L801" i="17"/>
  <c r="I802" i="17"/>
  <c r="J802" i="17"/>
  <c r="K802" i="17"/>
  <c r="L802" i="17"/>
  <c r="I803" i="17"/>
  <c r="J803" i="17"/>
  <c r="K803" i="17"/>
  <c r="L803" i="17"/>
  <c r="I804" i="17"/>
  <c r="J804" i="17"/>
  <c r="K804" i="17"/>
  <c r="L804" i="17"/>
  <c r="I805" i="17"/>
  <c r="J805" i="17"/>
  <c r="K805" i="17"/>
  <c r="L805" i="17"/>
  <c r="I806" i="17"/>
  <c r="J806" i="17"/>
  <c r="K806" i="17"/>
  <c r="L806" i="17"/>
  <c r="I807" i="17"/>
  <c r="J807" i="17"/>
  <c r="K807" i="17"/>
  <c r="L807" i="17"/>
  <c r="I808" i="17"/>
  <c r="J808" i="17"/>
  <c r="K808" i="17"/>
  <c r="L808" i="17"/>
  <c r="I809" i="17"/>
  <c r="J809" i="17"/>
  <c r="K809" i="17"/>
  <c r="L809" i="17"/>
  <c r="I810" i="17"/>
  <c r="J810" i="17"/>
  <c r="K810" i="17"/>
  <c r="L810" i="17"/>
  <c r="I811" i="17"/>
  <c r="J811" i="17"/>
  <c r="K811" i="17"/>
  <c r="L811" i="17"/>
  <c r="I812" i="17"/>
  <c r="J812" i="17"/>
  <c r="K812" i="17"/>
  <c r="L812" i="17"/>
  <c r="I813" i="17"/>
  <c r="J813" i="17"/>
  <c r="K813" i="17"/>
  <c r="L813" i="17"/>
  <c r="I814" i="17"/>
  <c r="J814" i="17"/>
  <c r="K814" i="17"/>
  <c r="L814" i="17"/>
  <c r="I815" i="17"/>
  <c r="J815" i="17"/>
  <c r="K815" i="17"/>
  <c r="L815" i="17"/>
  <c r="I816" i="17"/>
  <c r="J816" i="17"/>
  <c r="K816" i="17"/>
  <c r="L816" i="17"/>
  <c r="I817" i="17"/>
  <c r="J817" i="17"/>
  <c r="K817" i="17"/>
  <c r="L817" i="17"/>
  <c r="I818" i="17"/>
  <c r="J818" i="17"/>
  <c r="K818" i="17"/>
  <c r="L818" i="17"/>
  <c r="I819" i="17"/>
  <c r="J819" i="17"/>
  <c r="K819" i="17"/>
  <c r="L819" i="17"/>
  <c r="I820" i="17"/>
  <c r="J820" i="17"/>
  <c r="K820" i="17"/>
  <c r="L820" i="17"/>
  <c r="I821" i="17"/>
  <c r="J821" i="17"/>
  <c r="K821" i="17"/>
  <c r="L821" i="17"/>
  <c r="I822" i="17"/>
  <c r="J822" i="17"/>
  <c r="K822" i="17"/>
  <c r="L822" i="17"/>
  <c r="I823" i="17"/>
  <c r="J823" i="17"/>
  <c r="K823" i="17"/>
  <c r="L823" i="17"/>
  <c r="I824" i="17"/>
  <c r="J824" i="17"/>
  <c r="K824" i="17"/>
  <c r="L824" i="17"/>
  <c r="I825" i="17"/>
  <c r="J825" i="17"/>
  <c r="K825" i="17"/>
  <c r="L825" i="17"/>
  <c r="I826" i="17"/>
  <c r="J826" i="17"/>
  <c r="K826" i="17"/>
  <c r="L826" i="17"/>
  <c r="I827" i="17"/>
  <c r="J827" i="17"/>
  <c r="K827" i="17"/>
  <c r="L827" i="17"/>
  <c r="I828" i="17"/>
  <c r="J828" i="17"/>
  <c r="K828" i="17"/>
  <c r="L828" i="17"/>
  <c r="I829" i="17"/>
  <c r="J829" i="17"/>
  <c r="K829" i="17"/>
  <c r="L829" i="17"/>
  <c r="I830" i="17"/>
  <c r="J830" i="17"/>
  <c r="K830" i="17"/>
  <c r="L830" i="17"/>
  <c r="I831" i="17"/>
  <c r="J831" i="17"/>
  <c r="K831" i="17"/>
  <c r="L831" i="17"/>
  <c r="I832" i="17"/>
  <c r="J832" i="17"/>
  <c r="K832" i="17"/>
  <c r="L832" i="17"/>
  <c r="I833" i="17"/>
  <c r="J833" i="17"/>
  <c r="K833" i="17"/>
  <c r="L833" i="17"/>
  <c r="I834" i="17"/>
  <c r="J834" i="17"/>
  <c r="K834" i="17"/>
  <c r="L834" i="17"/>
  <c r="I835" i="17"/>
  <c r="J835" i="17"/>
  <c r="K835" i="17"/>
  <c r="L835" i="17"/>
  <c r="I836" i="17"/>
  <c r="J836" i="17"/>
  <c r="K836" i="17"/>
  <c r="L836" i="17"/>
  <c r="I837" i="17"/>
  <c r="J837" i="17"/>
  <c r="K837" i="17"/>
  <c r="L837" i="17"/>
  <c r="I838" i="17"/>
  <c r="J838" i="17"/>
  <c r="K838" i="17"/>
  <c r="L838" i="17"/>
  <c r="I839" i="17"/>
  <c r="J839" i="17"/>
  <c r="K839" i="17"/>
  <c r="L839" i="17"/>
  <c r="I840" i="17"/>
  <c r="J840" i="17"/>
  <c r="K840" i="17"/>
  <c r="L840" i="17"/>
  <c r="I841" i="17"/>
  <c r="J841" i="17"/>
  <c r="K841" i="17"/>
  <c r="L841" i="17"/>
  <c r="I842" i="17"/>
  <c r="J842" i="17"/>
  <c r="K842" i="17"/>
  <c r="L842" i="17"/>
  <c r="I843" i="17"/>
  <c r="J843" i="17"/>
  <c r="K843" i="17"/>
  <c r="L843" i="17"/>
  <c r="I844" i="17"/>
  <c r="J844" i="17"/>
  <c r="K844" i="17"/>
  <c r="L844" i="17"/>
  <c r="I845" i="17"/>
  <c r="J845" i="17"/>
  <c r="K845" i="17"/>
  <c r="L845" i="17"/>
  <c r="I846" i="17"/>
  <c r="J846" i="17"/>
  <c r="K846" i="17"/>
  <c r="L846" i="17"/>
  <c r="I847" i="17"/>
  <c r="J847" i="17"/>
  <c r="K847" i="17"/>
  <c r="L847" i="17"/>
  <c r="I848" i="17"/>
  <c r="J848" i="17"/>
  <c r="K848" i="17"/>
  <c r="L848" i="17"/>
  <c r="I849" i="17"/>
  <c r="J849" i="17"/>
  <c r="K849" i="17"/>
  <c r="L849" i="17"/>
  <c r="I850" i="17"/>
  <c r="J850" i="17"/>
  <c r="K850" i="17"/>
  <c r="L850" i="17"/>
  <c r="I851" i="17"/>
  <c r="J851" i="17"/>
  <c r="K851" i="17"/>
  <c r="L851" i="17"/>
  <c r="I852" i="17"/>
  <c r="J852" i="17"/>
  <c r="K852" i="17"/>
  <c r="L852" i="17"/>
  <c r="I853" i="17"/>
  <c r="J853" i="17"/>
  <c r="K853" i="17"/>
  <c r="L853" i="17"/>
  <c r="I854" i="17"/>
  <c r="J854" i="17"/>
  <c r="K854" i="17"/>
  <c r="L854" i="17"/>
  <c r="I855" i="17"/>
  <c r="J855" i="17"/>
  <c r="K855" i="17"/>
  <c r="L855" i="17"/>
  <c r="I856" i="17"/>
  <c r="J856" i="17"/>
  <c r="K856" i="17"/>
  <c r="L856" i="17"/>
  <c r="I857" i="17"/>
  <c r="J857" i="17"/>
  <c r="K857" i="17"/>
  <c r="L857" i="17"/>
  <c r="I858" i="17"/>
  <c r="J858" i="17"/>
  <c r="K858" i="17"/>
  <c r="L858" i="17"/>
  <c r="I859" i="17"/>
  <c r="J859" i="17"/>
  <c r="K859" i="17"/>
  <c r="L859" i="17"/>
  <c r="I860" i="17"/>
  <c r="J860" i="17"/>
  <c r="K860" i="17"/>
  <c r="L860" i="17"/>
  <c r="I861" i="17"/>
  <c r="J861" i="17"/>
  <c r="K861" i="17"/>
  <c r="L861" i="17"/>
  <c r="I862" i="17"/>
  <c r="J862" i="17"/>
  <c r="K862" i="17"/>
  <c r="L862" i="17"/>
  <c r="I863" i="17"/>
  <c r="J863" i="17"/>
  <c r="K863" i="17"/>
  <c r="L863" i="17"/>
  <c r="I864" i="17"/>
  <c r="J864" i="17"/>
  <c r="K864" i="17"/>
  <c r="L864" i="17"/>
  <c r="I865" i="17"/>
  <c r="J865" i="17"/>
  <c r="K865" i="17"/>
  <c r="L865" i="17"/>
  <c r="I866" i="17"/>
  <c r="J866" i="17"/>
  <c r="K866" i="17"/>
  <c r="L866" i="17"/>
  <c r="I867" i="17"/>
  <c r="J867" i="17"/>
  <c r="K867" i="17"/>
  <c r="L867" i="17"/>
  <c r="I868" i="17"/>
  <c r="J868" i="17"/>
  <c r="K868" i="17"/>
  <c r="L868" i="17"/>
  <c r="I869" i="17"/>
  <c r="J869" i="17"/>
  <c r="K869" i="17"/>
  <c r="L869" i="17"/>
  <c r="I870" i="17"/>
  <c r="J870" i="17"/>
  <c r="K870" i="17"/>
  <c r="L870" i="17"/>
  <c r="I871" i="17"/>
  <c r="J871" i="17"/>
  <c r="K871" i="17"/>
  <c r="L871" i="17"/>
  <c r="I872" i="17"/>
  <c r="J872" i="17"/>
  <c r="K872" i="17"/>
  <c r="L872" i="17"/>
  <c r="I873" i="17"/>
  <c r="J873" i="17"/>
  <c r="K873" i="17"/>
  <c r="L873" i="17"/>
  <c r="I874" i="17"/>
  <c r="J874" i="17"/>
  <c r="K874" i="17"/>
  <c r="L874" i="17"/>
  <c r="I875" i="17"/>
  <c r="J875" i="17"/>
  <c r="K875" i="17"/>
  <c r="L875" i="17"/>
  <c r="I876" i="17"/>
  <c r="J876" i="17"/>
  <c r="K876" i="17"/>
  <c r="L876" i="17"/>
  <c r="I877" i="17"/>
  <c r="J877" i="17"/>
  <c r="K877" i="17"/>
  <c r="L877" i="17"/>
  <c r="I878" i="17"/>
  <c r="J878" i="17"/>
  <c r="K878" i="17"/>
  <c r="L878" i="17"/>
  <c r="I879" i="17"/>
  <c r="J879" i="17"/>
  <c r="K879" i="17"/>
  <c r="L879" i="17"/>
  <c r="I880" i="17"/>
  <c r="J880" i="17"/>
  <c r="K880" i="17"/>
  <c r="L880" i="17"/>
  <c r="I881" i="17"/>
  <c r="J881" i="17"/>
  <c r="K881" i="17"/>
  <c r="L881" i="17"/>
  <c r="I882" i="17"/>
  <c r="J882" i="17"/>
  <c r="K882" i="17"/>
  <c r="L882" i="17"/>
  <c r="I883" i="17"/>
  <c r="J883" i="17"/>
  <c r="K883" i="17"/>
  <c r="L883" i="17"/>
  <c r="I884" i="17"/>
  <c r="J884" i="17"/>
  <c r="K884" i="17"/>
  <c r="L884" i="17"/>
  <c r="I885" i="17"/>
  <c r="J885" i="17"/>
  <c r="K885" i="17"/>
  <c r="L885" i="17"/>
  <c r="I886" i="17"/>
  <c r="J886" i="17"/>
  <c r="K886" i="17"/>
  <c r="L886" i="17"/>
  <c r="I887" i="17"/>
  <c r="J887" i="17"/>
  <c r="K887" i="17"/>
  <c r="L887" i="17"/>
  <c r="I888" i="17"/>
  <c r="J888" i="17"/>
  <c r="K888" i="17"/>
  <c r="L888" i="17"/>
  <c r="I889" i="17"/>
  <c r="J889" i="17"/>
  <c r="K889" i="17"/>
  <c r="L889" i="17"/>
  <c r="I890" i="17"/>
  <c r="J890" i="17"/>
  <c r="K890" i="17"/>
  <c r="L890" i="17"/>
  <c r="I891" i="17"/>
  <c r="J891" i="17"/>
  <c r="K891" i="17"/>
  <c r="L891" i="17"/>
  <c r="I892" i="17"/>
  <c r="J892" i="17"/>
  <c r="K892" i="17"/>
  <c r="L892" i="17"/>
  <c r="I893" i="17"/>
  <c r="J893" i="17"/>
  <c r="K893" i="17"/>
  <c r="L893" i="17"/>
  <c r="I894" i="17"/>
  <c r="J894" i="17"/>
  <c r="K894" i="17"/>
  <c r="L894" i="17"/>
  <c r="I895" i="17"/>
  <c r="J895" i="17"/>
  <c r="K895" i="17"/>
  <c r="L895" i="17"/>
  <c r="I896" i="17"/>
  <c r="J896" i="17"/>
  <c r="K896" i="17"/>
  <c r="L896" i="17"/>
  <c r="I897" i="17"/>
  <c r="J897" i="17"/>
  <c r="K897" i="17"/>
  <c r="L897" i="17"/>
  <c r="I898" i="17"/>
  <c r="J898" i="17"/>
  <c r="K898" i="17"/>
  <c r="L898" i="17"/>
  <c r="I899" i="17"/>
  <c r="J899" i="17"/>
  <c r="K899" i="17"/>
  <c r="L899" i="17"/>
  <c r="I900" i="17"/>
  <c r="J900" i="17"/>
  <c r="K900" i="17"/>
  <c r="L900" i="17"/>
  <c r="I901" i="17"/>
  <c r="J901" i="17"/>
  <c r="K901" i="17"/>
  <c r="L901" i="17"/>
  <c r="I902" i="17"/>
  <c r="J902" i="17"/>
  <c r="K902" i="17"/>
  <c r="L902" i="17"/>
  <c r="I903" i="17"/>
  <c r="J903" i="17"/>
  <c r="K903" i="17"/>
  <c r="L903" i="17"/>
  <c r="I904" i="17"/>
  <c r="J904" i="17"/>
  <c r="K904" i="17"/>
  <c r="L904" i="17"/>
  <c r="I905" i="17"/>
  <c r="J905" i="17"/>
  <c r="K905" i="17"/>
  <c r="L905" i="17"/>
  <c r="I906" i="17"/>
  <c r="J906" i="17"/>
  <c r="K906" i="17"/>
  <c r="L906" i="17"/>
  <c r="I907" i="17"/>
  <c r="J907" i="17"/>
  <c r="K907" i="17"/>
  <c r="L907" i="17"/>
  <c r="I908" i="17"/>
  <c r="J908" i="17"/>
  <c r="K908" i="17"/>
  <c r="L908" i="17"/>
  <c r="I909" i="17"/>
  <c r="J909" i="17"/>
  <c r="K909" i="17"/>
  <c r="L909" i="17"/>
  <c r="I910" i="17"/>
  <c r="J910" i="17"/>
  <c r="K910" i="17"/>
  <c r="L910" i="17"/>
  <c r="I911" i="17"/>
  <c r="J911" i="17"/>
  <c r="K911" i="17"/>
  <c r="L911" i="17"/>
  <c r="I912" i="17"/>
  <c r="J912" i="17"/>
  <c r="K912" i="17"/>
  <c r="L912" i="17"/>
  <c r="I913" i="17"/>
  <c r="J913" i="17"/>
  <c r="K913" i="17"/>
  <c r="L913" i="17"/>
  <c r="I914" i="17"/>
  <c r="J914" i="17"/>
  <c r="K914" i="17"/>
  <c r="L914" i="17"/>
  <c r="I915" i="17"/>
  <c r="J915" i="17"/>
  <c r="K915" i="17"/>
  <c r="L915" i="17"/>
  <c r="I916" i="17"/>
  <c r="J916" i="17"/>
  <c r="K916" i="17"/>
  <c r="L916" i="17"/>
  <c r="I917" i="17"/>
  <c r="J917" i="17"/>
  <c r="K917" i="17"/>
  <c r="L917" i="17"/>
  <c r="I918" i="17"/>
  <c r="J918" i="17"/>
  <c r="K918" i="17"/>
  <c r="L918" i="17"/>
  <c r="I919" i="17"/>
  <c r="J919" i="17"/>
  <c r="K919" i="17"/>
  <c r="L919" i="17"/>
  <c r="I920" i="17"/>
  <c r="J920" i="17"/>
  <c r="K920" i="17"/>
  <c r="L920" i="17"/>
  <c r="I921" i="17"/>
  <c r="J921" i="17"/>
  <c r="K921" i="17"/>
  <c r="L921" i="17"/>
  <c r="I922" i="17"/>
  <c r="J922" i="17"/>
  <c r="K922" i="17"/>
  <c r="L922" i="17"/>
  <c r="I923" i="17"/>
  <c r="J923" i="17"/>
  <c r="K923" i="17"/>
  <c r="L923" i="17"/>
  <c r="I924" i="17"/>
  <c r="J924" i="17"/>
  <c r="K924" i="17"/>
  <c r="L924" i="17"/>
  <c r="I925" i="17"/>
  <c r="J925" i="17"/>
  <c r="K925" i="17"/>
  <c r="L925" i="17"/>
  <c r="I926" i="17"/>
  <c r="J926" i="17"/>
  <c r="K926" i="17"/>
  <c r="L926" i="17"/>
  <c r="I927" i="17"/>
  <c r="J927" i="17"/>
  <c r="K927" i="17"/>
  <c r="L927" i="17"/>
  <c r="I928" i="17"/>
  <c r="J928" i="17"/>
  <c r="K928" i="17"/>
  <c r="L928" i="17"/>
  <c r="I929" i="17"/>
  <c r="J929" i="17"/>
  <c r="K929" i="17"/>
  <c r="L929" i="17"/>
  <c r="I930" i="17"/>
  <c r="J930" i="17"/>
  <c r="K930" i="17"/>
  <c r="L930" i="17"/>
  <c r="I931" i="17"/>
  <c r="J931" i="17"/>
  <c r="K931" i="17"/>
  <c r="L931" i="17"/>
  <c r="I932" i="17"/>
  <c r="J932" i="17"/>
  <c r="K932" i="17"/>
  <c r="L932" i="17"/>
  <c r="I933" i="17"/>
  <c r="J933" i="17"/>
  <c r="K933" i="17"/>
  <c r="L933" i="17"/>
  <c r="I934" i="17"/>
  <c r="J934" i="17"/>
  <c r="K934" i="17"/>
  <c r="L934" i="17"/>
  <c r="I935" i="17"/>
  <c r="J935" i="17"/>
  <c r="K935" i="17"/>
  <c r="L935" i="17"/>
  <c r="I936" i="17"/>
  <c r="J936" i="17"/>
  <c r="K936" i="17"/>
  <c r="L936" i="17"/>
  <c r="I937" i="17"/>
  <c r="J937" i="17"/>
  <c r="K937" i="17"/>
  <c r="L937" i="17"/>
  <c r="I938" i="17"/>
  <c r="J938" i="17"/>
  <c r="K938" i="17"/>
  <c r="L938" i="17"/>
  <c r="I939" i="17"/>
  <c r="J939" i="17"/>
  <c r="K939" i="17"/>
  <c r="L939" i="17"/>
  <c r="I940" i="17"/>
  <c r="J940" i="17"/>
  <c r="K940" i="17"/>
  <c r="L940" i="17"/>
  <c r="I941" i="17"/>
  <c r="J941" i="17"/>
  <c r="K941" i="17"/>
  <c r="L941" i="17"/>
  <c r="I942" i="17"/>
  <c r="J942" i="17"/>
  <c r="K942" i="17"/>
  <c r="L942" i="17"/>
  <c r="I943" i="17"/>
  <c r="J943" i="17"/>
  <c r="K943" i="17"/>
  <c r="L943" i="17"/>
  <c r="I944" i="17"/>
  <c r="J944" i="17"/>
  <c r="K944" i="17"/>
  <c r="L944" i="17"/>
  <c r="I945" i="17"/>
  <c r="J945" i="17"/>
  <c r="K945" i="17"/>
  <c r="L945" i="17"/>
  <c r="I946" i="17"/>
  <c r="J946" i="17"/>
  <c r="K946" i="17"/>
  <c r="L946" i="17"/>
  <c r="I947" i="17"/>
  <c r="J947" i="17"/>
  <c r="K947" i="17"/>
  <c r="L947" i="17"/>
  <c r="I948" i="17"/>
  <c r="J948" i="17"/>
  <c r="K948" i="17"/>
  <c r="L948" i="17"/>
  <c r="I949" i="17"/>
  <c r="J949" i="17"/>
  <c r="K949" i="17"/>
  <c r="L949" i="17"/>
  <c r="I950" i="17"/>
  <c r="J950" i="17"/>
  <c r="K950" i="17"/>
  <c r="L950" i="17"/>
  <c r="I951" i="17"/>
  <c r="J951" i="17"/>
  <c r="K951" i="17"/>
  <c r="L951" i="17"/>
  <c r="I952" i="17"/>
  <c r="J952" i="17"/>
  <c r="K952" i="17"/>
  <c r="L952" i="17"/>
  <c r="I953" i="17"/>
  <c r="J953" i="17"/>
  <c r="K953" i="17"/>
  <c r="L953" i="17"/>
  <c r="I954" i="17"/>
  <c r="J954" i="17"/>
  <c r="K954" i="17"/>
  <c r="L954" i="17"/>
  <c r="I955" i="17"/>
  <c r="J955" i="17"/>
  <c r="K955" i="17"/>
  <c r="L955" i="17"/>
  <c r="I956" i="17"/>
  <c r="J956" i="17"/>
  <c r="K956" i="17"/>
  <c r="L956" i="17"/>
  <c r="I957" i="17"/>
  <c r="J957" i="17"/>
  <c r="K957" i="17"/>
  <c r="L957" i="17"/>
  <c r="I958" i="17"/>
  <c r="J958" i="17"/>
  <c r="K958" i="17"/>
  <c r="L958" i="17"/>
  <c r="I959" i="17"/>
  <c r="J959" i="17"/>
  <c r="K959" i="17"/>
  <c r="L959" i="17"/>
  <c r="I960" i="17"/>
  <c r="J960" i="17"/>
  <c r="K960" i="17"/>
  <c r="L960" i="17"/>
  <c r="I961" i="17"/>
  <c r="J961" i="17"/>
  <c r="K961" i="17"/>
  <c r="L961" i="17"/>
  <c r="I962" i="17"/>
  <c r="J962" i="17"/>
  <c r="K962" i="17"/>
  <c r="L962" i="17"/>
  <c r="I963" i="17"/>
  <c r="J963" i="17"/>
  <c r="K963" i="17"/>
  <c r="L963" i="17"/>
  <c r="I964" i="17"/>
  <c r="J964" i="17"/>
  <c r="K964" i="17"/>
  <c r="L964" i="17"/>
  <c r="I965" i="17"/>
  <c r="J965" i="17"/>
  <c r="K965" i="17"/>
  <c r="L965" i="17"/>
  <c r="I966" i="17"/>
  <c r="J966" i="17"/>
  <c r="K966" i="17"/>
  <c r="L966" i="17"/>
  <c r="I967" i="17"/>
  <c r="J967" i="17"/>
  <c r="K967" i="17"/>
  <c r="L967" i="17"/>
  <c r="I968" i="17"/>
  <c r="J968" i="17"/>
  <c r="K968" i="17"/>
  <c r="L968" i="17"/>
  <c r="I969" i="17"/>
  <c r="J969" i="17"/>
  <c r="K969" i="17"/>
  <c r="L969" i="17"/>
  <c r="I970" i="17"/>
  <c r="J970" i="17"/>
  <c r="K970" i="17"/>
  <c r="L970" i="17"/>
  <c r="I971" i="17"/>
  <c r="J971" i="17"/>
  <c r="K971" i="17"/>
  <c r="L971" i="17"/>
  <c r="I972" i="17"/>
  <c r="J972" i="17"/>
  <c r="K972" i="17"/>
  <c r="L972" i="17"/>
  <c r="I973" i="17"/>
  <c r="J973" i="17"/>
  <c r="K973" i="17"/>
  <c r="L973" i="17"/>
  <c r="I974" i="17"/>
  <c r="J974" i="17"/>
  <c r="K974" i="17"/>
  <c r="L974" i="17"/>
  <c r="I975" i="17"/>
  <c r="J975" i="17"/>
  <c r="K975" i="17"/>
  <c r="L975" i="17"/>
  <c r="I976" i="17"/>
  <c r="J976" i="17"/>
  <c r="K976" i="17"/>
  <c r="L976" i="17"/>
  <c r="I977" i="17"/>
  <c r="J977" i="17"/>
  <c r="K977" i="17"/>
  <c r="L977" i="17"/>
  <c r="I978" i="17"/>
  <c r="J978" i="17"/>
  <c r="K978" i="17"/>
  <c r="L978" i="17"/>
  <c r="I979" i="17"/>
  <c r="J979" i="17"/>
  <c r="K979" i="17"/>
  <c r="L979" i="17"/>
  <c r="I980" i="17"/>
  <c r="J980" i="17"/>
  <c r="K980" i="17"/>
  <c r="L980" i="17"/>
  <c r="I981" i="17"/>
  <c r="J981" i="17"/>
  <c r="K981" i="17"/>
  <c r="L981" i="17"/>
  <c r="I982" i="17"/>
  <c r="J982" i="17"/>
  <c r="K982" i="17"/>
  <c r="L982" i="17"/>
  <c r="I983" i="17"/>
  <c r="J983" i="17"/>
  <c r="K983" i="17"/>
  <c r="L983" i="17"/>
  <c r="I984" i="17"/>
  <c r="J984" i="17"/>
  <c r="K984" i="17"/>
  <c r="L984" i="17"/>
  <c r="I985" i="17"/>
  <c r="J985" i="17"/>
  <c r="K985" i="17"/>
  <c r="L985" i="17"/>
  <c r="I986" i="17"/>
  <c r="J986" i="17"/>
  <c r="K986" i="17"/>
  <c r="L986" i="17"/>
  <c r="I987" i="17"/>
  <c r="J987" i="17"/>
  <c r="K987" i="17"/>
  <c r="L987" i="17"/>
  <c r="I988" i="17"/>
  <c r="J988" i="17"/>
  <c r="K988" i="17"/>
  <c r="L988" i="17"/>
  <c r="I989" i="17"/>
  <c r="J989" i="17"/>
  <c r="K989" i="17"/>
  <c r="L989" i="17"/>
  <c r="I990" i="17"/>
  <c r="J990" i="17"/>
  <c r="K990" i="17"/>
  <c r="L990" i="17"/>
  <c r="I991" i="17"/>
  <c r="J991" i="17"/>
  <c r="K991" i="17"/>
  <c r="L991" i="17"/>
  <c r="I992" i="17"/>
  <c r="J992" i="17"/>
  <c r="K992" i="17"/>
  <c r="L992" i="17"/>
  <c r="I993" i="17"/>
  <c r="J993" i="17"/>
  <c r="K993" i="17"/>
  <c r="L993" i="17"/>
  <c r="I994" i="17"/>
  <c r="J994" i="17"/>
  <c r="K994" i="17"/>
  <c r="L994" i="17"/>
  <c r="I995" i="17"/>
  <c r="J995" i="17"/>
  <c r="K995" i="17"/>
  <c r="L995" i="17"/>
  <c r="I996" i="17"/>
  <c r="J996" i="17"/>
  <c r="K996" i="17"/>
  <c r="L996" i="17"/>
  <c r="I997" i="17"/>
  <c r="J997" i="17"/>
  <c r="K997" i="17"/>
  <c r="L997" i="17"/>
  <c r="I998" i="17"/>
  <c r="J998" i="17"/>
  <c r="K998" i="17"/>
  <c r="L998" i="17"/>
  <c r="I999" i="17"/>
  <c r="J999" i="17"/>
  <c r="K999" i="17"/>
  <c r="L999" i="17"/>
  <c r="I1000" i="17"/>
  <c r="J1000" i="17"/>
  <c r="K1000" i="17"/>
  <c r="L1000" i="17"/>
  <c r="I1001" i="17"/>
  <c r="J1001" i="17"/>
  <c r="K1001" i="17"/>
  <c r="L1001" i="17"/>
  <c r="J2" i="17"/>
  <c r="K2" i="17"/>
  <c r="L2" i="17"/>
  <c r="I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<sst xmlns="http://schemas.openxmlformats.org/spreadsheetml/2006/main" count="11057" uniqueCount="6196">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</sst>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topLeftCell="E1" zoomScale="115" zoomScaleNormal="115" workbookViewId="0">
      <selection activeCell="I2" sqref="I2:L1001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36" bestFit="1" customWidth="1"/>
    <col min="8" max="8" width="14.3320312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>
        <f>IF(_xlfn.XLOOKUP(orders!C2,customers!$A:$A,customers!$C:$C,,0)=0,"",_xlfn.XLOOKUP(orders!C2,customers!$A:$A,customers!$C:$C,,0))</f>
        <v>aallner0@lulu.com</v>
      </c>
      <c r="H2" s="2" t="str">
        <f>_xlfn.XLOOKUP(C2,customers!$A:$A,customers!$G:$G,,0)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>
        <f>INDEX(products!$A$1:$G$49,MATCH(orders!$D2,products!$A$1:$A$49,0),MATCH(orders!K$1,products!$A$1:$G$1,0))</f>
        <v>1</v>
      </c>
      <c r="L2">
        <f>INDEX(products!$A$1:$G$49,MATCH(orders!$D2,products!$A$1:$A$49,0),MATCH(orders!L$1,products!$A$1:$G$1,0))</f>
        <v>9.9499999999999993</v>
      </c>
    </row>
    <row r="3" spans="1:13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>
        <f>IF(_xlfn.XLOOKUP(orders!C3,customers!$A:$A,customers!$C:$C,,0)=0,"",_xlfn.XLOOKUP(orders!C3,customers!$A:$A,customers!$C:$C,,0))</f>
        <v>aallner0@lulu.com</v>
      </c>
      <c r="H3" s="2" t="str">
        <f>_xlfn.XLOOKUP(C3,customers!$A:$A,customers!$G:$G,,0)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>
        <f>INDEX(products!$A$1:$G$49,MATCH(orders!$D3,products!$A$1:$A$49,0),MATCH(orders!K$1,products!$A$1:$G$1,0))</f>
        <v>0.5</v>
      </c>
      <c r="L3">
        <f>INDEX(products!$A$1:$G$49,MATCH(orders!$D3,products!$A$1:$A$49,0),MATCH(orders!L$1,products!$A$1:$G$1,0))</f>
        <v>8.25</v>
      </c>
    </row>
    <row r="4" spans="1:13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>
        <f>IF(_xlfn.XLOOKUP(orders!C4,customers!$A:$A,customers!$C:$C,,0)=0,"",_xlfn.XLOOKUP(orders!C4,customers!$A:$A,customers!$C:$C,,0))</f>
        <v>jredholes2@tmall.com</v>
      </c>
      <c r="H4" s="2" t="str">
        <f>_xlfn.XLOOKUP(C4,customers!$A:$A,customers!$G:$G,,0)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>
        <f>INDEX(products!$A$1:$G$49,MATCH(orders!$D4,products!$A$1:$A$49,0),MATCH(orders!K$1,products!$A$1:$G$1,0))</f>
        <v>1</v>
      </c>
      <c r="L4">
        <f>INDEX(products!$A$1:$G$49,MATCH(orders!$D4,products!$A$1:$A$49,0),MATCH(orders!L$1,products!$A$1:$G$1,0))</f>
        <v>12.95</v>
      </c>
    </row>
    <row r="5" spans="1:13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 t="str">
        <f>IF(_xlfn.XLOOKUP(orders!C5,customers!$A:$A,customers!$C:$C,,0)=0,"",_xlfn.XLOOKUP(orders!C5,customers!$A:$A,customers!$C:$C,,0))</f>
        <v/>
      </c>
      <c r="H5" s="2" t="str">
        <f>_xlfn.XLOOKUP(C5,customers!$A:$A,customers!$G:$G,,0)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>
        <f>INDEX(products!$A$1:$G$49,MATCH(orders!$D5,products!$A$1:$A$49,0),MATCH(orders!K$1,products!$A$1:$G$1,0))</f>
        <v>1</v>
      </c>
      <c r="L5">
        <f>INDEX(products!$A$1:$G$49,MATCH(orders!$D5,products!$A$1:$A$49,0),MATCH(orders!L$1,products!$A$1:$G$1,0))</f>
        <v>13.75</v>
      </c>
    </row>
    <row r="6" spans="1:13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 t="str">
        <f>IF(_xlfn.XLOOKUP(orders!C6,customers!$A:$A,customers!$C:$C,,0)=0,"",_xlfn.XLOOKUP(orders!C6,customers!$A:$A,customers!$C:$C,,0))</f>
        <v/>
      </c>
      <c r="H6" s="2" t="str">
        <f>_xlfn.XLOOKUP(C6,customers!$A:$A,customers!$G:$G,,0)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>
        <f>INDEX(products!$A$1:$G$49,MATCH(orders!$D6,products!$A$1:$A$49,0),MATCH(orders!K$1,products!$A$1:$G$1,0))</f>
        <v>2.5</v>
      </c>
      <c r="L6">
        <f>INDEX(products!$A$1:$G$49,MATCH(orders!$D6,products!$A$1:$A$49,0),MATCH(orders!L$1,products!$A$1:$G$1,0))</f>
        <v>27.484999999999996</v>
      </c>
    </row>
    <row r="7" spans="1:13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 t="str">
        <f>IF(_xlfn.XLOOKUP(orders!C7,customers!$A:$A,customers!$C:$C,,0)=0,"",_xlfn.XLOOKUP(orders!C7,customers!$A:$A,customers!$C:$C,,0))</f>
        <v/>
      </c>
      <c r="H7" s="2" t="str">
        <f>_xlfn.XLOOKUP(C7,customers!$A:$A,customers!$G:$G,,0)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>
        <f>INDEX(products!$A$1:$G$49,MATCH(orders!$D7,products!$A$1:$A$49,0),MATCH(orders!K$1,products!$A$1:$G$1,0))</f>
        <v>1</v>
      </c>
      <c r="L7">
        <f>INDEX(products!$A$1:$G$49,MATCH(orders!$D7,products!$A$1:$A$49,0),MATCH(orders!L$1,products!$A$1:$G$1,0))</f>
        <v>12.95</v>
      </c>
    </row>
    <row r="8" spans="1:13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>
        <f>IF(_xlfn.XLOOKUP(orders!C8,customers!$A:$A,customers!$C:$C,,0)=0,"",_xlfn.XLOOKUP(orders!C8,customers!$A:$A,customers!$C:$C,,0))</f>
        <v>slobe6@nifty.com</v>
      </c>
      <c r="H8" s="2" t="str">
        <f>_xlfn.XLOOKUP(C8,customers!$A:$A,customers!$G:$G,,0)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>
        <f>INDEX(products!$A$1:$G$49,MATCH(orders!$D8,products!$A$1:$A$49,0),MATCH(orders!K$1,products!$A$1:$G$1,0))</f>
        <v>0.5</v>
      </c>
      <c r="L8">
        <f>INDEX(products!$A$1:$G$49,MATCH(orders!$D8,products!$A$1:$A$49,0),MATCH(orders!L$1,products!$A$1:$G$1,0))</f>
        <v>7.29</v>
      </c>
    </row>
    <row r="9" spans="1:13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 t="str">
        <f>IF(_xlfn.XLOOKUP(orders!C9,customers!$A:$A,customers!$C:$C,,0)=0,"",_xlfn.XLOOKUP(orders!C9,customers!$A:$A,customers!$C:$C,,0))</f>
        <v/>
      </c>
      <c r="H9" s="2" t="str">
        <f>_xlfn.XLOOKUP(C9,customers!$A:$A,customers!$G:$G,,0)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>
        <f>INDEX(products!$A$1:$G$49,MATCH(orders!$D9,products!$A$1:$A$49,0),MATCH(orders!K$1,products!$A$1:$G$1,0))</f>
        <v>0.2</v>
      </c>
      <c r="L9">
        <f>INDEX(products!$A$1:$G$49,MATCH(orders!$D9,products!$A$1:$A$49,0),MATCH(orders!L$1,products!$A$1:$G$1,0))</f>
        <v>4.7549999999999999</v>
      </c>
    </row>
    <row r="10" spans="1:13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>
        <f>IF(_xlfn.XLOOKUP(orders!C10,customers!$A:$A,customers!$C:$C,,0)=0,"",_xlfn.XLOOKUP(orders!C10,customers!$A:$A,customers!$C:$C,,0))</f>
        <v>gpetracci8@livejournal.com</v>
      </c>
      <c r="H10" s="2" t="str">
        <f>_xlfn.XLOOKUP(C10,customers!$A:$A,customers!$G:$G,,0)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>
        <f>INDEX(products!$A$1:$G$49,MATCH(orders!$D10,products!$A$1:$A$49,0),MATCH(orders!K$1,products!$A$1:$G$1,0))</f>
        <v>0.5</v>
      </c>
      <c r="L10">
        <f>INDEX(products!$A$1:$G$49,MATCH(orders!$D10,products!$A$1:$A$49,0),MATCH(orders!L$1,products!$A$1:$G$1,0))</f>
        <v>5.97</v>
      </c>
    </row>
    <row r="11" spans="1:13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>
        <f>IF(_xlfn.XLOOKUP(orders!C11,customers!$A:$A,customers!$C:$C,,0)=0,"",_xlfn.XLOOKUP(orders!C11,customers!$A:$A,customers!$C:$C,,0))</f>
        <v>rraven9@ed.gov</v>
      </c>
      <c r="H11" s="2" t="str">
        <f>_xlfn.XLOOKUP(C11,customers!$A:$A,customers!$G:$G,,0)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>
        <f>INDEX(products!$A$1:$G$49,MATCH(orders!$D11,products!$A$1:$A$49,0),MATCH(orders!K$1,products!$A$1:$G$1,0))</f>
        <v>0.5</v>
      </c>
      <c r="L11">
        <f>INDEX(products!$A$1:$G$49,MATCH(orders!$D11,products!$A$1:$A$49,0),MATCH(orders!L$1,products!$A$1:$G$1,0))</f>
        <v>5.97</v>
      </c>
    </row>
    <row r="12" spans="1:13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>
        <f>IF(_xlfn.XLOOKUP(orders!C12,customers!$A:$A,customers!$C:$C,,0)=0,"",_xlfn.XLOOKUP(orders!C12,customers!$A:$A,customers!$C:$C,,0))</f>
        <v>fferbera@businesswire.com</v>
      </c>
      <c r="H12" s="2" t="str">
        <f>_xlfn.XLOOKUP(C12,customers!$A:$A,customers!$G:$G,,0)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>
        <f>INDEX(products!$A$1:$G$49,MATCH(orders!$D12,products!$A$1:$A$49,0),MATCH(orders!K$1,products!$A$1:$G$1,0))</f>
        <v>1</v>
      </c>
      <c r="L12">
        <f>INDEX(products!$A$1:$G$49,MATCH(orders!$D12,products!$A$1:$A$49,0),MATCH(orders!L$1,products!$A$1:$G$1,0))</f>
        <v>9.9499999999999993</v>
      </c>
    </row>
    <row r="13" spans="1:13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>
        <f>IF(_xlfn.XLOOKUP(orders!C13,customers!$A:$A,customers!$C:$C,,0)=0,"",_xlfn.XLOOKUP(orders!C13,customers!$A:$A,customers!$C:$C,,0))</f>
        <v>dphizackerlyb@utexas.edu</v>
      </c>
      <c r="H13" s="2" t="str">
        <f>_xlfn.XLOOKUP(C13,customers!$A:$A,customers!$G:$G,,0)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>
        <f>INDEX(products!$A$1:$G$49,MATCH(orders!$D13,products!$A$1:$A$49,0),MATCH(orders!K$1,products!$A$1:$G$1,0))</f>
        <v>2.5</v>
      </c>
      <c r="L13">
        <f>INDEX(products!$A$1:$G$49,MATCH(orders!$D13,products!$A$1:$A$49,0),MATCH(orders!L$1,products!$A$1:$G$1,0))</f>
        <v>34.154999999999994</v>
      </c>
    </row>
    <row r="14" spans="1:13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>
        <f>IF(_xlfn.XLOOKUP(orders!C14,customers!$A:$A,customers!$C:$C,,0)=0,"",_xlfn.XLOOKUP(orders!C14,customers!$A:$A,customers!$C:$C,,0))</f>
        <v>rscholarc@nyu.edu</v>
      </c>
      <c r="H14" s="2" t="str">
        <f>_xlfn.XLOOKUP(C14,customers!$A:$A,customers!$G:$G,,0)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>
        <f>INDEX(products!$A$1:$G$49,MATCH(orders!$D14,products!$A$1:$A$49,0),MATCH(orders!K$1,products!$A$1:$G$1,0))</f>
        <v>1</v>
      </c>
      <c r="L14">
        <f>INDEX(products!$A$1:$G$49,MATCH(orders!$D14,products!$A$1:$A$49,0),MATCH(orders!L$1,products!$A$1:$G$1,0))</f>
        <v>9.9499999999999993</v>
      </c>
    </row>
    <row r="15" spans="1:13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>
        <f>IF(_xlfn.XLOOKUP(orders!C15,customers!$A:$A,customers!$C:$C,,0)=0,"",_xlfn.XLOOKUP(orders!C15,customers!$A:$A,customers!$C:$C,,0))</f>
        <v>tvanyutind@wix.com</v>
      </c>
      <c r="H15" s="2" t="str">
        <f>_xlfn.XLOOKUP(C15,customers!$A:$A,customers!$G:$G,,0)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>
        <f>INDEX(products!$A$1:$G$49,MATCH(orders!$D15,products!$A$1:$A$49,0),MATCH(orders!K$1,products!$A$1:$G$1,0))</f>
        <v>2.5</v>
      </c>
      <c r="L15">
        <f>INDEX(products!$A$1:$G$49,MATCH(orders!$D15,products!$A$1:$A$49,0),MATCH(orders!L$1,products!$A$1:$G$1,0))</f>
        <v>20.584999999999997</v>
      </c>
    </row>
    <row r="16" spans="1:13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>
        <f>IF(_xlfn.XLOOKUP(orders!C16,customers!$A:$A,customers!$C:$C,,0)=0,"",_xlfn.XLOOKUP(orders!C16,customers!$A:$A,customers!$C:$C,,0))</f>
        <v>ptrobee@wunderground.com</v>
      </c>
      <c r="H16" s="2" t="str">
        <f>_xlfn.XLOOKUP(C16,customers!$A:$A,customers!$G:$G,,0)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>
        <f>INDEX(products!$A$1:$G$49,MATCH(orders!$D16,products!$A$1:$A$49,0),MATCH(orders!K$1,products!$A$1:$G$1,0))</f>
        <v>0.2</v>
      </c>
      <c r="L16">
        <f>INDEX(products!$A$1:$G$49,MATCH(orders!$D16,products!$A$1:$A$49,0),MATCH(orders!L$1,products!$A$1:$G$1,0))</f>
        <v>3.8849999999999998</v>
      </c>
    </row>
    <row r="17" spans="1:12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>
        <f>IF(_xlfn.XLOOKUP(orders!C17,customers!$A:$A,customers!$C:$C,,0)=0,"",_xlfn.XLOOKUP(orders!C17,customers!$A:$A,customers!$C:$C,,0))</f>
        <v>loscroftf@ebay.co.uk</v>
      </c>
      <c r="H17" s="2" t="str">
        <f>_xlfn.XLOOKUP(C17,customers!$A:$A,customers!$G:$G,,0)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>
        <f>INDEX(products!$A$1:$G$49,MATCH(orders!$D17,products!$A$1:$A$49,0),MATCH(orders!K$1,products!$A$1:$G$1,0))</f>
        <v>2.5</v>
      </c>
      <c r="L17">
        <f>INDEX(products!$A$1:$G$49,MATCH(orders!$D17,products!$A$1:$A$49,0),MATCH(orders!L$1,products!$A$1:$G$1,0))</f>
        <v>22.884999999999998</v>
      </c>
    </row>
    <row r="18" spans="1:12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>
        <f>IF(_xlfn.XLOOKUP(orders!C18,customers!$A:$A,customers!$C:$C,,0)=0,"",_xlfn.XLOOKUP(orders!C18,customers!$A:$A,customers!$C:$C,,0))</f>
        <v>malabasterg@hexun.com</v>
      </c>
      <c r="H18" s="2" t="str">
        <f>_xlfn.XLOOKUP(C18,customers!$A:$A,customers!$G:$G,,0)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>
        <f>INDEX(products!$A$1:$G$49,MATCH(orders!$D18,products!$A$1:$A$49,0),MATCH(orders!K$1,products!$A$1:$G$1,0))</f>
        <v>0.2</v>
      </c>
      <c r="L18">
        <f>INDEX(products!$A$1:$G$49,MATCH(orders!$D18,products!$A$1:$A$49,0),MATCH(orders!L$1,products!$A$1:$G$1,0))</f>
        <v>3.375</v>
      </c>
    </row>
    <row r="19" spans="1:12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>
        <f>IF(_xlfn.XLOOKUP(orders!C19,customers!$A:$A,customers!$C:$C,,0)=0,"",_xlfn.XLOOKUP(orders!C19,customers!$A:$A,customers!$C:$C,,0))</f>
        <v>rbroxuph@jimdo.com</v>
      </c>
      <c r="H19" s="2" t="str">
        <f>_xlfn.XLOOKUP(C19,customers!$A:$A,customers!$G:$G,,0)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>
        <f>INDEX(products!$A$1:$G$49,MATCH(orders!$D19,products!$A$1:$A$49,0),MATCH(orders!K$1,products!$A$1:$G$1,0))</f>
        <v>1</v>
      </c>
      <c r="L19">
        <f>INDEX(products!$A$1:$G$49,MATCH(orders!$D19,products!$A$1:$A$49,0),MATCH(orders!L$1,products!$A$1:$G$1,0))</f>
        <v>12.95</v>
      </c>
    </row>
    <row r="20" spans="1:12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>
        <f>IF(_xlfn.XLOOKUP(orders!C20,customers!$A:$A,customers!$C:$C,,0)=0,"",_xlfn.XLOOKUP(orders!C20,customers!$A:$A,customers!$C:$C,,0))</f>
        <v>predfordi@ow.ly</v>
      </c>
      <c r="H20" s="2" t="str">
        <f>_xlfn.XLOOKUP(C20,customers!$A:$A,customers!$G:$G,,0)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>
        <f>INDEX(products!$A$1:$G$49,MATCH(orders!$D20,products!$A$1:$A$49,0),MATCH(orders!K$1,products!$A$1:$G$1,0))</f>
        <v>2.5</v>
      </c>
      <c r="L20">
        <f>INDEX(products!$A$1:$G$49,MATCH(orders!$D20,products!$A$1:$A$49,0),MATCH(orders!L$1,products!$A$1:$G$1,0))</f>
        <v>20.584999999999997</v>
      </c>
    </row>
    <row r="21" spans="1:12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>
        <f>IF(_xlfn.XLOOKUP(orders!C21,customers!$A:$A,customers!$C:$C,,0)=0,"",_xlfn.XLOOKUP(orders!C21,customers!$A:$A,customers!$C:$C,,0))</f>
        <v>acorradinoj@harvard.edu</v>
      </c>
      <c r="H21" s="2" t="str">
        <f>_xlfn.XLOOKUP(C21,customers!$A:$A,customers!$G:$G,,0)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>
        <f>INDEX(products!$A$1:$G$49,MATCH(orders!$D21,products!$A$1:$A$49,0),MATCH(orders!K$1,products!$A$1:$G$1,0))</f>
        <v>0.2</v>
      </c>
      <c r="L21">
        <f>INDEX(products!$A$1:$G$49,MATCH(orders!$D21,products!$A$1:$A$49,0),MATCH(orders!L$1,products!$A$1:$G$1,0))</f>
        <v>3.375</v>
      </c>
    </row>
    <row r="22" spans="1:12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>
        <f>IF(_xlfn.XLOOKUP(orders!C22,customers!$A:$A,customers!$C:$C,,0)=0,"",_xlfn.XLOOKUP(orders!C22,customers!$A:$A,customers!$C:$C,,0))</f>
        <v>acorradinoj@harvard.edu</v>
      </c>
      <c r="H22" s="2" t="str">
        <f>_xlfn.XLOOKUP(C22,customers!$A:$A,customers!$G:$G,,0)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>
        <f>INDEX(products!$A$1:$G$49,MATCH(orders!$D22,products!$A$1:$A$49,0),MATCH(orders!K$1,products!$A$1:$G$1,0))</f>
        <v>0.2</v>
      </c>
      <c r="L22">
        <f>INDEX(products!$A$1:$G$49,MATCH(orders!$D22,products!$A$1:$A$49,0),MATCH(orders!L$1,products!$A$1:$G$1,0))</f>
        <v>3.645</v>
      </c>
    </row>
    <row r="23" spans="1:12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>
        <f>IF(_xlfn.XLOOKUP(orders!C23,customers!$A:$A,customers!$C:$C,,0)=0,"",_xlfn.XLOOKUP(orders!C23,customers!$A:$A,customers!$C:$C,,0))</f>
        <v>adavidowskyl@netvibes.com</v>
      </c>
      <c r="H23" s="2" t="str">
        <f>_xlfn.XLOOKUP(C23,customers!$A:$A,customers!$G:$G,,0)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>
        <f>INDEX(products!$A$1:$G$49,MATCH(orders!$D23,products!$A$1:$A$49,0),MATCH(orders!K$1,products!$A$1:$G$1,0))</f>
        <v>0.2</v>
      </c>
      <c r="L23">
        <f>INDEX(products!$A$1:$G$49,MATCH(orders!$D23,products!$A$1:$A$49,0),MATCH(orders!L$1,products!$A$1:$G$1,0))</f>
        <v>2.9849999999999999</v>
      </c>
    </row>
    <row r="24" spans="1:12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>
        <f>IF(_xlfn.XLOOKUP(orders!C24,customers!$A:$A,customers!$C:$C,,0)=0,"",_xlfn.XLOOKUP(orders!C24,customers!$A:$A,customers!$C:$C,,0))</f>
        <v>aantukm@kickstarter.com</v>
      </c>
      <c r="H24" s="2" t="str">
        <f>_xlfn.XLOOKUP(C24,customers!$A:$A,customers!$G:$G,,0)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>
        <f>INDEX(products!$A$1:$G$49,MATCH(orders!$D24,products!$A$1:$A$49,0),MATCH(orders!K$1,products!$A$1:$G$1,0))</f>
        <v>2.5</v>
      </c>
      <c r="L24">
        <f>INDEX(products!$A$1:$G$49,MATCH(orders!$D24,products!$A$1:$A$49,0),MATCH(orders!L$1,products!$A$1:$G$1,0))</f>
        <v>22.884999999999998</v>
      </c>
    </row>
    <row r="25" spans="1:12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>
        <f>IF(_xlfn.XLOOKUP(orders!C25,customers!$A:$A,customers!$C:$C,,0)=0,"",_xlfn.XLOOKUP(orders!C25,customers!$A:$A,customers!$C:$C,,0))</f>
        <v>ikleinertn@timesonline.co.uk</v>
      </c>
      <c r="H25" s="2" t="str">
        <f>_xlfn.XLOOKUP(C25,customers!$A:$A,customers!$G:$G,,0)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>
        <f>INDEX(products!$A$1:$G$49,MATCH(orders!$D25,products!$A$1:$A$49,0),MATCH(orders!K$1,products!$A$1:$G$1,0))</f>
        <v>0.2</v>
      </c>
      <c r="L25">
        <f>INDEX(products!$A$1:$G$49,MATCH(orders!$D25,products!$A$1:$A$49,0),MATCH(orders!L$1,products!$A$1:$G$1,0))</f>
        <v>2.9849999999999999</v>
      </c>
    </row>
    <row r="26" spans="1:12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>
        <f>IF(_xlfn.XLOOKUP(orders!C26,customers!$A:$A,customers!$C:$C,,0)=0,"",_xlfn.XLOOKUP(orders!C26,customers!$A:$A,customers!$C:$C,,0))</f>
        <v>cblofeldo@amazon.co.uk</v>
      </c>
      <c r="H26" s="2" t="str">
        <f>_xlfn.XLOOKUP(C26,customers!$A:$A,customers!$G:$G,,0)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>
        <f>INDEX(products!$A$1:$G$49,MATCH(orders!$D26,products!$A$1:$A$49,0),MATCH(orders!K$1,products!$A$1:$G$1,0))</f>
        <v>1</v>
      </c>
      <c r="L26">
        <f>INDEX(products!$A$1:$G$49,MATCH(orders!$D26,products!$A$1:$A$49,0),MATCH(orders!L$1,products!$A$1:$G$1,0))</f>
        <v>11.25</v>
      </c>
    </row>
    <row r="27" spans="1:12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 t="str">
        <f>IF(_xlfn.XLOOKUP(orders!C27,customers!$A:$A,customers!$C:$C,,0)=0,"",_xlfn.XLOOKUP(orders!C27,customers!$A:$A,customers!$C:$C,,0))</f>
        <v/>
      </c>
      <c r="H27" s="2" t="str">
        <f>_xlfn.XLOOKUP(C27,customers!$A:$A,customers!$G:$G,,0)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>
        <f>INDEX(products!$A$1:$G$49,MATCH(orders!$D27,products!$A$1:$A$49,0),MATCH(orders!K$1,products!$A$1:$G$1,0))</f>
        <v>0.2</v>
      </c>
      <c r="L27">
        <f>INDEX(products!$A$1:$G$49,MATCH(orders!$D27,products!$A$1:$A$49,0),MATCH(orders!L$1,products!$A$1:$G$1,0))</f>
        <v>4.125</v>
      </c>
    </row>
    <row r="28" spans="1:12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>
        <f>IF(_xlfn.XLOOKUP(orders!C28,customers!$A:$A,customers!$C:$C,,0)=0,"",_xlfn.XLOOKUP(orders!C28,customers!$A:$A,customers!$C:$C,,0))</f>
        <v>sshalesq@umich.edu</v>
      </c>
      <c r="H28" s="2" t="str">
        <f>_xlfn.XLOOKUP(C28,customers!$A:$A,customers!$G:$G,,0)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>
        <f>INDEX(products!$A$1:$G$49,MATCH(orders!$D28,products!$A$1:$A$49,0),MATCH(orders!K$1,products!$A$1:$G$1,0))</f>
        <v>0.5</v>
      </c>
      <c r="L28">
        <f>INDEX(products!$A$1:$G$49,MATCH(orders!$D28,products!$A$1:$A$49,0),MATCH(orders!L$1,products!$A$1:$G$1,0))</f>
        <v>6.75</v>
      </c>
    </row>
    <row r="29" spans="1:12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>
        <f>IF(_xlfn.XLOOKUP(orders!C29,customers!$A:$A,customers!$C:$C,,0)=0,"",_xlfn.XLOOKUP(orders!C29,customers!$A:$A,customers!$C:$C,,0))</f>
        <v>vdanneilr@mtv.com</v>
      </c>
      <c r="H29" s="2" t="str">
        <f>_xlfn.XLOOKUP(C29,customers!$A:$A,customers!$G:$G,,0)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>
        <f>INDEX(products!$A$1:$G$49,MATCH(orders!$D29,products!$A$1:$A$49,0),MATCH(orders!K$1,products!$A$1:$G$1,0))</f>
        <v>0.2</v>
      </c>
      <c r="L29">
        <f>INDEX(products!$A$1:$G$49,MATCH(orders!$D29,products!$A$1:$A$49,0),MATCH(orders!L$1,products!$A$1:$G$1,0))</f>
        <v>3.375</v>
      </c>
    </row>
    <row r="30" spans="1:12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>
        <f>IF(_xlfn.XLOOKUP(orders!C30,customers!$A:$A,customers!$C:$C,,0)=0,"",_xlfn.XLOOKUP(orders!C30,customers!$A:$A,customers!$C:$C,,0))</f>
        <v>tnewburys@usda.gov</v>
      </c>
      <c r="H30" s="2" t="str">
        <f>_xlfn.XLOOKUP(C30,customers!$A:$A,customers!$G:$G,,0)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>
        <f>INDEX(products!$A$1:$G$49,MATCH(orders!$D30,products!$A$1:$A$49,0),MATCH(orders!K$1,products!$A$1:$G$1,0))</f>
        <v>0.5</v>
      </c>
      <c r="L30">
        <f>INDEX(products!$A$1:$G$49,MATCH(orders!$D30,products!$A$1:$A$49,0),MATCH(orders!L$1,products!$A$1:$G$1,0))</f>
        <v>5.97</v>
      </c>
    </row>
    <row r="31" spans="1:12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>
        <f>IF(_xlfn.XLOOKUP(orders!C31,customers!$A:$A,customers!$C:$C,,0)=0,"",_xlfn.XLOOKUP(orders!C31,customers!$A:$A,customers!$C:$C,,0))</f>
        <v>mcalcuttt@baidu.com</v>
      </c>
      <c r="H31" s="2" t="str">
        <f>_xlfn.XLOOKUP(C31,customers!$A:$A,customers!$G:$G,,0)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>
        <f>INDEX(products!$A$1:$G$49,MATCH(orders!$D31,products!$A$1:$A$49,0),MATCH(orders!K$1,products!$A$1:$G$1,0))</f>
        <v>1</v>
      </c>
      <c r="L31">
        <f>INDEX(products!$A$1:$G$49,MATCH(orders!$D31,products!$A$1:$A$49,0),MATCH(orders!L$1,products!$A$1:$G$1,0))</f>
        <v>9.9499999999999993</v>
      </c>
    </row>
    <row r="32" spans="1:12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 t="str">
        <f>IF(_xlfn.XLOOKUP(orders!C32,customers!$A:$A,customers!$C:$C,,0)=0,"",_xlfn.XLOOKUP(orders!C32,customers!$A:$A,customers!$C:$C,,0))</f>
        <v/>
      </c>
      <c r="H32" s="2" t="str">
        <f>_xlfn.XLOOKUP(C32,customers!$A:$A,customers!$G:$G,,0)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>
        <f>INDEX(products!$A$1:$G$49,MATCH(orders!$D32,products!$A$1:$A$49,0),MATCH(orders!K$1,products!$A$1:$G$1,0))</f>
        <v>0.2</v>
      </c>
      <c r="L32">
        <f>INDEX(products!$A$1:$G$49,MATCH(orders!$D32,products!$A$1:$A$49,0),MATCH(orders!L$1,products!$A$1:$G$1,0))</f>
        <v>4.3650000000000002</v>
      </c>
    </row>
    <row r="33" spans="1:12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 t="str">
        <f>IF(_xlfn.XLOOKUP(orders!C33,customers!$A:$A,customers!$C:$C,,0)=0,"",_xlfn.XLOOKUP(orders!C33,customers!$A:$A,customers!$C:$C,,0))</f>
        <v/>
      </c>
      <c r="H33" s="2" t="str">
        <f>_xlfn.XLOOKUP(C33,customers!$A:$A,customers!$G:$G,,0)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>
        <f>INDEX(products!$A$1:$G$49,MATCH(orders!$D33,products!$A$1:$A$49,0),MATCH(orders!K$1,products!$A$1:$G$1,0))</f>
        <v>0.5</v>
      </c>
      <c r="L33">
        <f>INDEX(products!$A$1:$G$49,MATCH(orders!$D33,products!$A$1:$A$49,0),MATCH(orders!L$1,products!$A$1:$G$1,0))</f>
        <v>5.97</v>
      </c>
    </row>
    <row r="34" spans="1:12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 t="str">
        <f>IF(_xlfn.XLOOKUP(orders!C34,customers!$A:$A,customers!$C:$C,,0)=0,"",_xlfn.XLOOKUP(orders!C34,customers!$A:$A,customers!$C:$C,,0))</f>
        <v/>
      </c>
      <c r="H34" s="2" t="str">
        <f>_xlfn.XLOOKUP(C34,customers!$A:$A,customers!$G:$G,,0)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>
        <f>INDEX(products!$A$1:$G$49,MATCH(orders!$D34,products!$A$1:$A$49,0),MATCH(orders!K$1,products!$A$1:$G$1,0))</f>
        <v>0.5</v>
      </c>
      <c r="L34">
        <f>INDEX(products!$A$1:$G$49,MATCH(orders!$D34,products!$A$1:$A$49,0),MATCH(orders!L$1,products!$A$1:$G$1,0))</f>
        <v>8.73</v>
      </c>
    </row>
    <row r="35" spans="1:12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>
        <f>IF(_xlfn.XLOOKUP(orders!C35,customers!$A:$A,customers!$C:$C,,0)=0,"",_xlfn.XLOOKUP(orders!C35,customers!$A:$A,customers!$C:$C,,0))</f>
        <v>ggatheralx@123-reg.co.uk</v>
      </c>
      <c r="H35" s="2" t="str">
        <f>_xlfn.XLOOKUP(C35,customers!$A:$A,customers!$G:$G,,0)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>
        <f>INDEX(products!$A$1:$G$49,MATCH(orders!$D35,products!$A$1:$A$49,0),MATCH(orders!K$1,products!$A$1:$G$1,0))</f>
        <v>0.2</v>
      </c>
      <c r="L35">
        <f>INDEX(products!$A$1:$G$49,MATCH(orders!$D35,products!$A$1:$A$49,0),MATCH(orders!L$1,products!$A$1:$G$1,0))</f>
        <v>4.7549999999999999</v>
      </c>
    </row>
    <row r="36" spans="1:12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>
        <f>IF(_xlfn.XLOOKUP(orders!C36,customers!$A:$A,customers!$C:$C,,0)=0,"",_xlfn.XLOOKUP(orders!C36,customers!$A:$A,customers!$C:$C,,0))</f>
        <v>uwelberryy@ebay.co.uk</v>
      </c>
      <c r="H36" s="2" t="str">
        <f>_xlfn.XLOOKUP(C36,customers!$A:$A,customers!$G:$G,,0)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>
        <f>INDEX(products!$A$1:$G$49,MATCH(orders!$D36,products!$A$1:$A$49,0),MATCH(orders!K$1,products!$A$1:$G$1,0))</f>
        <v>0.5</v>
      </c>
      <c r="L36">
        <f>INDEX(products!$A$1:$G$49,MATCH(orders!$D36,products!$A$1:$A$49,0),MATCH(orders!L$1,products!$A$1:$G$1,0))</f>
        <v>9.51</v>
      </c>
    </row>
    <row r="37" spans="1:12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>
        <f>IF(_xlfn.XLOOKUP(orders!C37,customers!$A:$A,customers!$C:$C,,0)=0,"",_xlfn.XLOOKUP(orders!C37,customers!$A:$A,customers!$C:$C,,0))</f>
        <v>feilhartz@who.int</v>
      </c>
      <c r="H37" s="2" t="str">
        <f>_xlfn.XLOOKUP(C37,customers!$A:$A,customers!$G:$G,,0)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>
        <f>INDEX(products!$A$1:$G$49,MATCH(orders!$D37,products!$A$1:$A$49,0),MATCH(orders!K$1,products!$A$1:$G$1,0))</f>
        <v>0.5</v>
      </c>
      <c r="L37">
        <f>INDEX(products!$A$1:$G$49,MATCH(orders!$D37,products!$A$1:$A$49,0),MATCH(orders!L$1,products!$A$1:$G$1,0))</f>
        <v>5.97</v>
      </c>
    </row>
    <row r="38" spans="1:12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>
        <f>IF(_xlfn.XLOOKUP(orders!C38,customers!$A:$A,customers!$C:$C,,0)=0,"",_xlfn.XLOOKUP(orders!C38,customers!$A:$A,customers!$C:$C,,0))</f>
        <v>zponting10@altervista.org</v>
      </c>
      <c r="H38" s="2" t="str">
        <f>_xlfn.XLOOKUP(C38,customers!$A:$A,customers!$G:$G,,0)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>
        <f>INDEX(products!$A$1:$G$49,MATCH(orders!$D38,products!$A$1:$A$49,0),MATCH(orders!K$1,products!$A$1:$G$1,0))</f>
        <v>0.2</v>
      </c>
      <c r="L38">
        <f>INDEX(products!$A$1:$G$49,MATCH(orders!$D38,products!$A$1:$A$49,0),MATCH(orders!L$1,products!$A$1:$G$1,0))</f>
        <v>4.3650000000000002</v>
      </c>
    </row>
    <row r="39" spans="1:12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>
        <f>IF(_xlfn.XLOOKUP(orders!C39,customers!$A:$A,customers!$C:$C,,0)=0,"",_xlfn.XLOOKUP(orders!C39,customers!$A:$A,customers!$C:$C,,0))</f>
        <v>sstrase11@booking.com</v>
      </c>
      <c r="H39" s="2" t="str">
        <f>_xlfn.XLOOKUP(C39,customers!$A:$A,customers!$G:$G,,0)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>
        <f>INDEX(products!$A$1:$G$49,MATCH(orders!$D39,products!$A$1:$A$49,0),MATCH(orders!K$1,products!$A$1:$G$1,0))</f>
        <v>0.5</v>
      </c>
      <c r="L39">
        <f>INDEX(products!$A$1:$G$49,MATCH(orders!$D39,products!$A$1:$A$49,0),MATCH(orders!L$1,products!$A$1:$G$1,0))</f>
        <v>9.51</v>
      </c>
    </row>
    <row r="40" spans="1:12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>
        <f>IF(_xlfn.XLOOKUP(orders!C40,customers!$A:$A,customers!$C:$C,,0)=0,"",_xlfn.XLOOKUP(orders!C40,customers!$A:$A,customers!$C:$C,,0))</f>
        <v>dde12@unesco.org</v>
      </c>
      <c r="H40" s="2" t="str">
        <f>_xlfn.XLOOKUP(C40,customers!$A:$A,customers!$G:$G,,0)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>
        <f>INDEX(products!$A$1:$G$49,MATCH(orders!$D40,products!$A$1:$A$49,0),MATCH(orders!K$1,products!$A$1:$G$1,0))</f>
        <v>2.5</v>
      </c>
      <c r="L40">
        <f>INDEX(products!$A$1:$G$49,MATCH(orders!$D40,products!$A$1:$A$49,0),MATCH(orders!L$1,products!$A$1:$G$1,0))</f>
        <v>22.884999999999998</v>
      </c>
    </row>
    <row r="41" spans="1:12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 t="str">
        <f>IF(_xlfn.XLOOKUP(orders!C41,customers!$A:$A,customers!$C:$C,,0)=0,"",_xlfn.XLOOKUP(orders!C41,customers!$A:$A,customers!$C:$C,,0))</f>
        <v/>
      </c>
      <c r="H41" s="2" t="str">
        <f>_xlfn.XLOOKUP(C41,customers!$A:$A,customers!$G:$G,,0)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>
        <f>INDEX(products!$A$1:$G$49,MATCH(orders!$D41,products!$A$1:$A$49,0),MATCH(orders!K$1,products!$A$1:$G$1,0))</f>
        <v>1</v>
      </c>
      <c r="L41">
        <f>INDEX(products!$A$1:$G$49,MATCH(orders!$D41,products!$A$1:$A$49,0),MATCH(orders!L$1,products!$A$1:$G$1,0))</f>
        <v>9.9499999999999993</v>
      </c>
    </row>
    <row r="42" spans="1:12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 t="str">
        <f>IF(_xlfn.XLOOKUP(orders!C42,customers!$A:$A,customers!$C:$C,,0)=0,"",_xlfn.XLOOKUP(orders!C42,customers!$A:$A,customers!$C:$C,,0))</f>
        <v/>
      </c>
      <c r="H42" s="2" t="str">
        <f>_xlfn.XLOOKUP(C42,customers!$A:$A,customers!$G:$G,,0)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>
        <f>INDEX(products!$A$1:$G$49,MATCH(orders!$D42,products!$A$1:$A$49,0),MATCH(orders!K$1,products!$A$1:$G$1,0))</f>
        <v>1</v>
      </c>
      <c r="L42">
        <f>INDEX(products!$A$1:$G$49,MATCH(orders!$D42,products!$A$1:$A$49,0),MATCH(orders!L$1,products!$A$1:$G$1,0))</f>
        <v>14.55</v>
      </c>
    </row>
    <row r="43" spans="1:12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>
        <f>IF(_xlfn.XLOOKUP(orders!C43,customers!$A:$A,customers!$C:$C,,0)=0,"",_xlfn.XLOOKUP(orders!C43,customers!$A:$A,customers!$C:$C,,0))</f>
        <v>lyeoland15@pbs.org</v>
      </c>
      <c r="H43" s="2" t="str">
        <f>_xlfn.XLOOKUP(C43,customers!$A:$A,customers!$G:$G,,0)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>
        <f>INDEX(products!$A$1:$G$49,MATCH(orders!$D43,products!$A$1:$A$49,0),MATCH(orders!K$1,products!$A$1:$G$1,0))</f>
        <v>0.2</v>
      </c>
      <c r="L43">
        <f>INDEX(products!$A$1:$G$49,MATCH(orders!$D43,products!$A$1:$A$49,0),MATCH(orders!L$1,products!$A$1:$G$1,0))</f>
        <v>3.645</v>
      </c>
    </row>
    <row r="44" spans="1:12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>
        <f>IF(_xlfn.XLOOKUP(orders!C44,customers!$A:$A,customers!$C:$C,,0)=0,"",_xlfn.XLOOKUP(orders!C44,customers!$A:$A,customers!$C:$C,,0))</f>
        <v>atolworthy16@toplist.cz</v>
      </c>
      <c r="H44" s="2" t="str">
        <f>_xlfn.XLOOKUP(C44,customers!$A:$A,customers!$G:$G,,0)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>
        <f>INDEX(products!$A$1:$G$49,MATCH(orders!$D44,products!$A$1:$A$49,0),MATCH(orders!K$1,products!$A$1:$G$1,0))</f>
        <v>0.2</v>
      </c>
      <c r="L44">
        <f>INDEX(products!$A$1:$G$49,MATCH(orders!$D44,products!$A$1:$A$49,0),MATCH(orders!L$1,products!$A$1:$G$1,0))</f>
        <v>2.6849999999999996</v>
      </c>
    </row>
    <row r="45" spans="1:12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 t="str">
        <f>IF(_xlfn.XLOOKUP(orders!C45,customers!$A:$A,customers!$C:$C,,0)=0,"",_xlfn.XLOOKUP(orders!C45,customers!$A:$A,customers!$C:$C,,0))</f>
        <v/>
      </c>
      <c r="H45" s="2" t="str">
        <f>_xlfn.XLOOKUP(C45,customers!$A:$A,customers!$G:$G,,0)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>
        <f>INDEX(products!$A$1:$G$49,MATCH(orders!$D45,products!$A$1:$A$49,0),MATCH(orders!K$1,products!$A$1:$G$1,0))</f>
        <v>2.5</v>
      </c>
      <c r="L45">
        <f>INDEX(products!$A$1:$G$49,MATCH(orders!$D45,products!$A$1:$A$49,0),MATCH(orders!L$1,products!$A$1:$G$1,0))</f>
        <v>36.454999999999998</v>
      </c>
    </row>
    <row r="46" spans="1:12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>
        <f>IF(_xlfn.XLOOKUP(orders!C46,customers!$A:$A,customers!$C:$C,,0)=0,"",_xlfn.XLOOKUP(orders!C46,customers!$A:$A,customers!$C:$C,,0))</f>
        <v>obaudassi18@seesaa.net</v>
      </c>
      <c r="H46" s="2" t="str">
        <f>_xlfn.XLOOKUP(C46,customers!$A:$A,customers!$G:$G,,0)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>
        <f>INDEX(products!$A$1:$G$49,MATCH(orders!$D46,products!$A$1:$A$49,0),MATCH(orders!K$1,products!$A$1:$G$1,0))</f>
        <v>0.5</v>
      </c>
      <c r="L46">
        <f>INDEX(products!$A$1:$G$49,MATCH(orders!$D46,products!$A$1:$A$49,0),MATCH(orders!L$1,products!$A$1:$G$1,0))</f>
        <v>8.25</v>
      </c>
    </row>
    <row r="47" spans="1:12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>
        <f>IF(_xlfn.XLOOKUP(orders!C47,customers!$A:$A,customers!$C:$C,,0)=0,"",_xlfn.XLOOKUP(orders!C47,customers!$A:$A,customers!$C:$C,,0))</f>
        <v>pkingsbury19@comcast.net</v>
      </c>
      <c r="H47" s="2" t="str">
        <f>_xlfn.XLOOKUP(C47,customers!$A:$A,customers!$G:$G,,0)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>
        <f>INDEX(products!$A$1:$G$49,MATCH(orders!$D47,products!$A$1:$A$49,0),MATCH(orders!K$1,products!$A$1:$G$1,0))</f>
        <v>2.5</v>
      </c>
      <c r="L47">
        <f>INDEX(products!$A$1:$G$49,MATCH(orders!$D47,products!$A$1:$A$49,0),MATCH(orders!L$1,products!$A$1:$G$1,0))</f>
        <v>29.784999999999997</v>
      </c>
    </row>
    <row r="48" spans="1:12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 t="str">
        <f>IF(_xlfn.XLOOKUP(orders!C48,customers!$A:$A,customers!$C:$C,,0)=0,"",_xlfn.XLOOKUP(orders!C48,customers!$A:$A,customers!$C:$C,,0))</f>
        <v/>
      </c>
      <c r="H48" s="2" t="str">
        <f>_xlfn.XLOOKUP(C48,customers!$A:$A,customers!$G:$G,,0)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>
        <f>INDEX(products!$A$1:$G$49,MATCH(orders!$D48,products!$A$1:$A$49,0),MATCH(orders!K$1,products!$A$1:$G$1,0))</f>
        <v>2.5</v>
      </c>
      <c r="L48">
        <f>INDEX(products!$A$1:$G$49,MATCH(orders!$D48,products!$A$1:$A$49,0),MATCH(orders!L$1,products!$A$1:$G$1,0))</f>
        <v>31.624999999999996</v>
      </c>
    </row>
    <row r="49" spans="1:12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>
        <f>IF(_xlfn.XLOOKUP(orders!C49,customers!$A:$A,customers!$C:$C,,0)=0,"",_xlfn.XLOOKUP(orders!C49,customers!$A:$A,customers!$C:$C,,0))</f>
        <v>acurley1b@hao123.com</v>
      </c>
      <c r="H49" s="2" t="str">
        <f>_xlfn.XLOOKUP(C49,customers!$A:$A,customers!$G:$G,,0)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>
        <f>INDEX(products!$A$1:$G$49,MATCH(orders!$D49,products!$A$1:$A$49,0),MATCH(orders!K$1,products!$A$1:$G$1,0))</f>
        <v>0.2</v>
      </c>
      <c r="L49">
        <f>INDEX(products!$A$1:$G$49,MATCH(orders!$D49,products!$A$1:$A$49,0),MATCH(orders!L$1,products!$A$1:$G$1,0))</f>
        <v>3.8849999999999998</v>
      </c>
    </row>
    <row r="50" spans="1:12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>
        <f>IF(_xlfn.XLOOKUP(orders!C50,customers!$A:$A,customers!$C:$C,,0)=0,"",_xlfn.XLOOKUP(orders!C50,customers!$A:$A,customers!$C:$C,,0))</f>
        <v>rmcgilvary1c@tamu.edu</v>
      </c>
      <c r="H50" s="2" t="str">
        <f>_xlfn.XLOOKUP(C50,customers!$A:$A,customers!$G:$G,,0)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>
        <f>INDEX(products!$A$1:$G$49,MATCH(orders!$D50,products!$A$1:$A$49,0),MATCH(orders!K$1,products!$A$1:$G$1,0))</f>
        <v>2.5</v>
      </c>
      <c r="L50">
        <f>INDEX(products!$A$1:$G$49,MATCH(orders!$D50,products!$A$1:$A$49,0),MATCH(orders!L$1,products!$A$1:$G$1,0))</f>
        <v>22.884999999999998</v>
      </c>
    </row>
    <row r="51" spans="1:12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>
        <f>IF(_xlfn.XLOOKUP(orders!C51,customers!$A:$A,customers!$C:$C,,0)=0,"",_xlfn.XLOOKUP(orders!C51,customers!$A:$A,customers!$C:$C,,0))</f>
        <v>ipikett1d@xinhuanet.com</v>
      </c>
      <c r="H51" s="2" t="str">
        <f>_xlfn.XLOOKUP(C51,customers!$A:$A,customers!$G:$G,,0)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>
        <f>INDEX(products!$A$1:$G$49,MATCH(orders!$D51,products!$A$1:$A$49,0),MATCH(orders!K$1,products!$A$1:$G$1,0))</f>
        <v>1</v>
      </c>
      <c r="L51">
        <f>INDEX(products!$A$1:$G$49,MATCH(orders!$D51,products!$A$1:$A$49,0),MATCH(orders!L$1,products!$A$1:$G$1,0))</f>
        <v>12.95</v>
      </c>
    </row>
    <row r="52" spans="1:12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>
        <f>IF(_xlfn.XLOOKUP(orders!C52,customers!$A:$A,customers!$C:$C,,0)=0,"",_xlfn.XLOOKUP(orders!C52,customers!$A:$A,customers!$C:$C,,0))</f>
        <v>ibouldon1e@gizmodo.com</v>
      </c>
      <c r="H52" s="2" t="str">
        <f>_xlfn.XLOOKUP(C52,customers!$A:$A,customers!$G:$G,,0)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>
        <f>INDEX(products!$A$1:$G$49,MATCH(orders!$D52,products!$A$1:$A$49,0),MATCH(orders!K$1,products!$A$1:$G$1,0))</f>
        <v>0.5</v>
      </c>
      <c r="L52">
        <f>INDEX(products!$A$1:$G$49,MATCH(orders!$D52,products!$A$1:$A$49,0),MATCH(orders!L$1,products!$A$1:$G$1,0))</f>
        <v>7.77</v>
      </c>
    </row>
    <row r="53" spans="1:12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>
        <f>IF(_xlfn.XLOOKUP(orders!C53,customers!$A:$A,customers!$C:$C,,0)=0,"",_xlfn.XLOOKUP(orders!C53,customers!$A:$A,customers!$C:$C,,0))</f>
        <v>kflanders1f@over-blog.com</v>
      </c>
      <c r="H53" s="2" t="str">
        <f>_xlfn.XLOOKUP(C53,customers!$A:$A,customers!$G:$G,,0)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>
        <f>INDEX(products!$A$1:$G$49,MATCH(orders!$D53,products!$A$1:$A$49,0),MATCH(orders!K$1,products!$A$1:$G$1,0))</f>
        <v>2.5</v>
      </c>
      <c r="L53">
        <f>INDEX(products!$A$1:$G$49,MATCH(orders!$D53,products!$A$1:$A$49,0),MATCH(orders!L$1,products!$A$1:$G$1,0))</f>
        <v>36.454999999999998</v>
      </c>
    </row>
    <row r="54" spans="1:12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>
        <f>IF(_xlfn.XLOOKUP(orders!C54,customers!$A:$A,customers!$C:$C,,0)=0,"",_xlfn.XLOOKUP(orders!C54,customers!$A:$A,customers!$C:$C,,0))</f>
        <v>hmattioli1g@webmd.com</v>
      </c>
      <c r="H54" s="2" t="str">
        <f>_xlfn.XLOOKUP(C54,customers!$A:$A,customers!$G:$G,,0)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>
        <f>INDEX(products!$A$1:$G$49,MATCH(orders!$D54,products!$A$1:$A$49,0),MATCH(orders!K$1,products!$A$1:$G$1,0))</f>
        <v>0.5</v>
      </c>
      <c r="L54">
        <f>INDEX(products!$A$1:$G$49,MATCH(orders!$D54,products!$A$1:$A$49,0),MATCH(orders!L$1,products!$A$1:$G$1,0))</f>
        <v>5.97</v>
      </c>
    </row>
    <row r="55" spans="1:12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>
        <f>IF(_xlfn.XLOOKUP(orders!C55,customers!$A:$A,customers!$C:$C,,0)=0,"",_xlfn.XLOOKUP(orders!C55,customers!$A:$A,customers!$C:$C,,0))</f>
        <v>hmattioli1g@webmd.com</v>
      </c>
      <c r="H55" s="2" t="str">
        <f>_xlfn.XLOOKUP(C55,customers!$A:$A,customers!$G:$G,,0)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>
        <f>INDEX(products!$A$1:$G$49,MATCH(orders!$D55,products!$A$1:$A$49,0),MATCH(orders!K$1,products!$A$1:$G$1,0))</f>
        <v>2.5</v>
      </c>
      <c r="L55">
        <f>INDEX(products!$A$1:$G$49,MATCH(orders!$D55,products!$A$1:$A$49,0),MATCH(orders!L$1,products!$A$1:$G$1,0))</f>
        <v>36.454999999999998</v>
      </c>
    </row>
    <row r="56" spans="1:12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>
        <f>IF(_xlfn.XLOOKUP(orders!C56,customers!$A:$A,customers!$C:$C,,0)=0,"",_xlfn.XLOOKUP(orders!C56,customers!$A:$A,customers!$C:$C,,0))</f>
        <v>agillard1i@issuu.com</v>
      </c>
      <c r="H56" s="2" t="str">
        <f>_xlfn.XLOOKUP(C56,customers!$A:$A,customers!$G:$G,,0)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>
        <f>INDEX(products!$A$1:$G$49,MATCH(orders!$D56,products!$A$1:$A$49,0),MATCH(orders!K$1,products!$A$1:$G$1,0))</f>
        <v>1</v>
      </c>
      <c r="L56">
        <f>INDEX(products!$A$1:$G$49,MATCH(orders!$D56,products!$A$1:$A$49,0),MATCH(orders!L$1,products!$A$1:$G$1,0))</f>
        <v>14.55</v>
      </c>
    </row>
    <row r="57" spans="1:12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 t="str">
        <f>IF(_xlfn.XLOOKUP(orders!C57,customers!$A:$A,customers!$C:$C,,0)=0,"",_xlfn.XLOOKUP(orders!C57,customers!$A:$A,customers!$C:$C,,0))</f>
        <v/>
      </c>
      <c r="H57" s="2" t="str">
        <f>_xlfn.XLOOKUP(C57,customers!$A:$A,customers!$G:$G,,0)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>
        <f>INDEX(products!$A$1:$G$49,MATCH(orders!$D57,products!$A$1:$A$49,0),MATCH(orders!K$1,products!$A$1:$G$1,0))</f>
        <v>1</v>
      </c>
      <c r="L57">
        <f>INDEX(products!$A$1:$G$49,MATCH(orders!$D57,products!$A$1:$A$49,0),MATCH(orders!L$1,products!$A$1:$G$1,0))</f>
        <v>15.85</v>
      </c>
    </row>
    <row r="58" spans="1:12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>
        <f>IF(_xlfn.XLOOKUP(orders!C58,customers!$A:$A,customers!$C:$C,,0)=0,"",_xlfn.XLOOKUP(orders!C58,customers!$A:$A,customers!$C:$C,,0))</f>
        <v>tgrizard1k@odnoklassniki.ru</v>
      </c>
      <c r="H58" s="2" t="str">
        <f>_xlfn.XLOOKUP(C58,customers!$A:$A,customers!$G:$G,,0)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>
        <f>INDEX(products!$A$1:$G$49,MATCH(orders!$D58,products!$A$1:$A$49,0),MATCH(orders!K$1,products!$A$1:$G$1,0))</f>
        <v>0.2</v>
      </c>
      <c r="L58">
        <f>INDEX(products!$A$1:$G$49,MATCH(orders!$D58,products!$A$1:$A$49,0),MATCH(orders!L$1,products!$A$1:$G$1,0))</f>
        <v>3.645</v>
      </c>
    </row>
    <row r="59" spans="1:12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>
        <f>IF(_xlfn.XLOOKUP(orders!C59,customers!$A:$A,customers!$C:$C,,0)=0,"",_xlfn.XLOOKUP(orders!C59,customers!$A:$A,customers!$C:$C,,0))</f>
        <v>rrelton1l@stanford.edu</v>
      </c>
      <c r="H59" s="2" t="str">
        <f>_xlfn.XLOOKUP(C59,customers!$A:$A,customers!$G:$G,,0)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>
        <f>INDEX(products!$A$1:$G$49,MATCH(orders!$D59,products!$A$1:$A$49,0),MATCH(orders!K$1,products!$A$1:$G$1,0))</f>
        <v>1</v>
      </c>
      <c r="L59">
        <f>INDEX(products!$A$1:$G$49,MATCH(orders!$D59,products!$A$1:$A$49,0),MATCH(orders!L$1,products!$A$1:$G$1,0))</f>
        <v>14.85</v>
      </c>
    </row>
    <row r="60" spans="1:12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 t="str">
        <f>IF(_xlfn.XLOOKUP(orders!C60,customers!$A:$A,customers!$C:$C,,0)=0,"",_xlfn.XLOOKUP(orders!C60,customers!$A:$A,customers!$C:$C,,0))</f>
        <v/>
      </c>
      <c r="H60" s="2" t="str">
        <f>_xlfn.XLOOKUP(C60,customers!$A:$A,customers!$G:$G,,0)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>
        <f>INDEX(products!$A$1:$G$49,MATCH(orders!$D60,products!$A$1:$A$49,0),MATCH(orders!K$1,products!$A$1:$G$1,0))</f>
        <v>2.5</v>
      </c>
      <c r="L60">
        <f>INDEX(products!$A$1:$G$49,MATCH(orders!$D60,products!$A$1:$A$49,0),MATCH(orders!L$1,products!$A$1:$G$1,0))</f>
        <v>29.784999999999997</v>
      </c>
    </row>
    <row r="61" spans="1:12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>
        <f>IF(_xlfn.XLOOKUP(orders!C61,customers!$A:$A,customers!$C:$C,,0)=0,"",_xlfn.XLOOKUP(orders!C61,customers!$A:$A,customers!$C:$C,,0))</f>
        <v>sgilroy1n@eepurl.com</v>
      </c>
      <c r="H61" s="2" t="str">
        <f>_xlfn.XLOOKUP(C61,customers!$A:$A,customers!$G:$G,,0)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>
        <f>INDEX(products!$A$1:$G$49,MATCH(orders!$D61,products!$A$1:$A$49,0),MATCH(orders!K$1,products!$A$1:$G$1,0))</f>
        <v>0.5</v>
      </c>
      <c r="L61">
        <f>INDEX(products!$A$1:$G$49,MATCH(orders!$D61,products!$A$1:$A$49,0),MATCH(orders!L$1,products!$A$1:$G$1,0))</f>
        <v>8.73</v>
      </c>
    </row>
    <row r="62" spans="1:12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>
        <f>IF(_xlfn.XLOOKUP(orders!C62,customers!$A:$A,customers!$C:$C,,0)=0,"",_xlfn.XLOOKUP(orders!C62,customers!$A:$A,customers!$C:$C,,0))</f>
        <v>ccottingham1o@wikipedia.org</v>
      </c>
      <c r="H62" s="2" t="str">
        <f>_xlfn.XLOOKUP(C62,customers!$A:$A,customers!$G:$G,,0)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>
        <f>INDEX(products!$A$1:$G$49,MATCH(orders!$D62,products!$A$1:$A$49,0),MATCH(orders!K$1,products!$A$1:$G$1,0))</f>
        <v>2.5</v>
      </c>
      <c r="L62">
        <f>INDEX(products!$A$1:$G$49,MATCH(orders!$D62,products!$A$1:$A$49,0),MATCH(orders!L$1,products!$A$1:$G$1,0))</f>
        <v>22.884999999999998</v>
      </c>
    </row>
    <row r="63" spans="1:12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 t="str">
        <f>IF(_xlfn.XLOOKUP(orders!C63,customers!$A:$A,customers!$C:$C,,0)=0,"",_xlfn.XLOOKUP(orders!C63,customers!$A:$A,customers!$C:$C,,0))</f>
        <v/>
      </c>
      <c r="H63" s="2" t="str">
        <f>_xlfn.XLOOKUP(C63,customers!$A:$A,customers!$G:$G,,0)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>
        <f>INDEX(products!$A$1:$G$49,MATCH(orders!$D63,products!$A$1:$A$49,0),MATCH(orders!K$1,products!$A$1:$G$1,0))</f>
        <v>0.5</v>
      </c>
      <c r="L63">
        <f>INDEX(products!$A$1:$G$49,MATCH(orders!$D63,products!$A$1:$A$49,0),MATCH(orders!L$1,products!$A$1:$G$1,0))</f>
        <v>5.3699999999999992</v>
      </c>
    </row>
    <row r="64" spans="1:12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 t="str">
        <f>IF(_xlfn.XLOOKUP(orders!C64,customers!$A:$A,customers!$C:$C,,0)=0,"",_xlfn.XLOOKUP(orders!C64,customers!$A:$A,customers!$C:$C,,0))</f>
        <v/>
      </c>
      <c r="H64" s="2" t="str">
        <f>_xlfn.XLOOKUP(C64,customers!$A:$A,customers!$G:$G,,0)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>
        <f>INDEX(products!$A$1:$G$49,MATCH(orders!$D64,products!$A$1:$A$49,0),MATCH(orders!K$1,products!$A$1:$G$1,0))</f>
        <v>0.2</v>
      </c>
      <c r="L64">
        <f>INDEX(products!$A$1:$G$49,MATCH(orders!$D64,products!$A$1:$A$49,0),MATCH(orders!L$1,products!$A$1:$G$1,0))</f>
        <v>4.7549999999999999</v>
      </c>
    </row>
    <row r="65" spans="1:12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>
        <f>IF(_xlfn.XLOOKUP(orders!C65,customers!$A:$A,customers!$C:$C,,0)=0,"",_xlfn.XLOOKUP(orders!C65,customers!$A:$A,customers!$C:$C,,0))</f>
        <v>adykes1r@eventbrite.com</v>
      </c>
      <c r="H65" s="2" t="str">
        <f>_xlfn.XLOOKUP(C65,customers!$A:$A,customers!$G:$G,,0)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>
        <f>INDEX(products!$A$1:$G$49,MATCH(orders!$D65,products!$A$1:$A$49,0),MATCH(orders!K$1,products!$A$1:$G$1,0))</f>
        <v>0.5</v>
      </c>
      <c r="L65">
        <f>INDEX(products!$A$1:$G$49,MATCH(orders!$D65,products!$A$1:$A$49,0),MATCH(orders!L$1,products!$A$1:$G$1,0))</f>
        <v>6.75</v>
      </c>
    </row>
    <row r="66" spans="1:12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 t="str">
        <f>IF(_xlfn.XLOOKUP(orders!C66,customers!$A:$A,customers!$C:$C,,0)=0,"",_xlfn.XLOOKUP(orders!C66,customers!$A:$A,customers!$C:$C,,0))</f>
        <v/>
      </c>
      <c r="H66" s="2" t="str">
        <f>_xlfn.XLOOKUP(C66,customers!$A:$A,customers!$G:$G,,0)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>
        <f>INDEX(products!$A$1:$G$49,MATCH(orders!$D66,products!$A$1:$A$49,0),MATCH(orders!K$1,products!$A$1:$G$1,0))</f>
        <v>0.5</v>
      </c>
      <c r="L66">
        <f>INDEX(products!$A$1:$G$49,MATCH(orders!$D66,products!$A$1:$A$49,0),MATCH(orders!L$1,products!$A$1:$G$1,0))</f>
        <v>5.97</v>
      </c>
    </row>
    <row r="67" spans="1:12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>
        <f>IF(_xlfn.XLOOKUP(orders!C67,customers!$A:$A,customers!$C:$C,,0)=0,"",_xlfn.XLOOKUP(orders!C67,customers!$A:$A,customers!$C:$C,,0))</f>
        <v>acockrem1t@engadget.com</v>
      </c>
      <c r="H67" s="2" t="str">
        <f>_xlfn.XLOOKUP(C67,customers!$A:$A,customers!$G:$G,,0)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>
        <f>INDEX(products!$A$1:$G$49,MATCH(orders!$D67,products!$A$1:$A$49,0),MATCH(orders!K$1,products!$A$1:$G$1,0))</f>
        <v>2.5</v>
      </c>
      <c r="L67">
        <f>INDEX(products!$A$1:$G$49,MATCH(orders!$D67,products!$A$1:$A$49,0),MATCH(orders!L$1,products!$A$1:$G$1,0))</f>
        <v>20.584999999999997</v>
      </c>
    </row>
    <row r="68" spans="1:12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>
        <f>IF(_xlfn.XLOOKUP(orders!C68,customers!$A:$A,customers!$C:$C,,0)=0,"",_xlfn.XLOOKUP(orders!C68,customers!$A:$A,customers!$C:$C,,0))</f>
        <v>bumpleby1u@soundcloud.com</v>
      </c>
      <c r="H68" s="2" t="str">
        <f>_xlfn.XLOOKUP(C68,customers!$A:$A,customers!$G:$G,,0)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>
        <f>INDEX(products!$A$1:$G$49,MATCH(orders!$D68,products!$A$1:$A$49,0),MATCH(orders!K$1,products!$A$1:$G$1,0))</f>
        <v>0.5</v>
      </c>
      <c r="L68">
        <f>INDEX(products!$A$1:$G$49,MATCH(orders!$D68,products!$A$1:$A$49,0),MATCH(orders!L$1,products!$A$1:$G$1,0))</f>
        <v>7.169999999999999</v>
      </c>
    </row>
    <row r="69" spans="1:12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>
        <f>IF(_xlfn.XLOOKUP(orders!C69,customers!$A:$A,customers!$C:$C,,0)=0,"",_xlfn.XLOOKUP(orders!C69,customers!$A:$A,customers!$C:$C,,0))</f>
        <v>nsaleway1v@dedecms.com</v>
      </c>
      <c r="H69" s="2" t="str">
        <f>_xlfn.XLOOKUP(C69,customers!$A:$A,customers!$G:$G,,0)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>
        <f>INDEX(products!$A$1:$G$49,MATCH(orders!$D69,products!$A$1:$A$49,0),MATCH(orders!K$1,products!$A$1:$G$1,0))</f>
        <v>0.2</v>
      </c>
      <c r="L69">
        <f>INDEX(products!$A$1:$G$49,MATCH(orders!$D69,products!$A$1:$A$49,0),MATCH(orders!L$1,products!$A$1:$G$1,0))</f>
        <v>4.7549999999999999</v>
      </c>
    </row>
    <row r="70" spans="1:12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>
        <f>IF(_xlfn.XLOOKUP(orders!C70,customers!$A:$A,customers!$C:$C,,0)=0,"",_xlfn.XLOOKUP(orders!C70,customers!$A:$A,customers!$C:$C,,0))</f>
        <v>hgoulter1w@abc.net.au</v>
      </c>
      <c r="H70" s="2" t="str">
        <f>_xlfn.XLOOKUP(C70,customers!$A:$A,customers!$G:$G,,0)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>
        <f>INDEX(products!$A$1:$G$49,MATCH(orders!$D70,products!$A$1:$A$49,0),MATCH(orders!K$1,products!$A$1:$G$1,0))</f>
        <v>0.2</v>
      </c>
      <c r="L70">
        <f>INDEX(products!$A$1:$G$49,MATCH(orders!$D70,products!$A$1:$A$49,0),MATCH(orders!L$1,products!$A$1:$G$1,0))</f>
        <v>2.9849999999999999</v>
      </c>
    </row>
    <row r="71" spans="1:12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>
        <f>IF(_xlfn.XLOOKUP(orders!C71,customers!$A:$A,customers!$C:$C,,0)=0,"",_xlfn.XLOOKUP(orders!C71,customers!$A:$A,customers!$C:$C,,0))</f>
        <v>grizzello1x@symantec.com</v>
      </c>
      <c r="H71" s="2" t="str">
        <f>_xlfn.XLOOKUP(C71,customers!$A:$A,customers!$G:$G,,0)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>
        <f>INDEX(products!$A$1:$G$49,MATCH(orders!$D71,products!$A$1:$A$49,0),MATCH(orders!K$1,products!$A$1:$G$1,0))</f>
        <v>1</v>
      </c>
      <c r="L71">
        <f>INDEX(products!$A$1:$G$49,MATCH(orders!$D71,products!$A$1:$A$49,0),MATCH(orders!L$1,products!$A$1:$G$1,0))</f>
        <v>9.9499999999999993</v>
      </c>
    </row>
    <row r="72" spans="1:12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>
        <f>IF(_xlfn.XLOOKUP(orders!C72,customers!$A:$A,customers!$C:$C,,0)=0,"",_xlfn.XLOOKUP(orders!C72,customers!$A:$A,customers!$C:$C,,0))</f>
        <v>slist1y@mapquest.com</v>
      </c>
      <c r="H72" s="2" t="str">
        <f>_xlfn.XLOOKUP(C72,customers!$A:$A,customers!$G:$G,,0)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>
        <f>INDEX(products!$A$1:$G$49,MATCH(orders!$D72,products!$A$1:$A$49,0),MATCH(orders!K$1,products!$A$1:$G$1,0))</f>
        <v>2.5</v>
      </c>
      <c r="L72">
        <f>INDEX(products!$A$1:$G$49,MATCH(orders!$D72,products!$A$1:$A$49,0),MATCH(orders!L$1,products!$A$1:$G$1,0))</f>
        <v>34.154999999999994</v>
      </c>
    </row>
    <row r="73" spans="1:12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>
        <f>IF(_xlfn.XLOOKUP(orders!C73,customers!$A:$A,customers!$C:$C,,0)=0,"",_xlfn.XLOOKUP(orders!C73,customers!$A:$A,customers!$C:$C,,0))</f>
        <v>sedmondson1z@theguardian.com</v>
      </c>
      <c r="H73" s="2" t="str">
        <f>_xlfn.XLOOKUP(C73,customers!$A:$A,customers!$G:$G,,0)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>
        <f>INDEX(products!$A$1:$G$49,MATCH(orders!$D73,products!$A$1:$A$49,0),MATCH(orders!K$1,products!$A$1:$G$1,0))</f>
        <v>0.2</v>
      </c>
      <c r="L73">
        <f>INDEX(products!$A$1:$G$49,MATCH(orders!$D73,products!$A$1:$A$49,0),MATCH(orders!L$1,products!$A$1:$G$1,0))</f>
        <v>4.7549999999999999</v>
      </c>
    </row>
    <row r="74" spans="1:12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 t="str">
        <f>IF(_xlfn.XLOOKUP(orders!C74,customers!$A:$A,customers!$C:$C,,0)=0,"",_xlfn.XLOOKUP(orders!C74,customers!$A:$A,customers!$C:$C,,0))</f>
        <v/>
      </c>
      <c r="H74" s="2" t="str">
        <f>_xlfn.XLOOKUP(C74,customers!$A:$A,customers!$G:$G,,0)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>
        <f>INDEX(products!$A$1:$G$49,MATCH(orders!$D74,products!$A$1:$A$49,0),MATCH(orders!K$1,products!$A$1:$G$1,0))</f>
        <v>2.5</v>
      </c>
      <c r="L74">
        <f>INDEX(products!$A$1:$G$49,MATCH(orders!$D74,products!$A$1:$A$49,0),MATCH(orders!L$1,products!$A$1:$G$1,0))</f>
        <v>25.874999999999996</v>
      </c>
    </row>
    <row r="75" spans="1:12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 t="str">
        <f>IF(_xlfn.XLOOKUP(orders!C75,customers!$A:$A,customers!$C:$C,,0)=0,"",_xlfn.XLOOKUP(orders!C75,customers!$A:$A,customers!$C:$C,,0))</f>
        <v/>
      </c>
      <c r="H75" s="2" t="str">
        <f>_xlfn.XLOOKUP(C75,customers!$A:$A,customers!$G:$G,,0)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>
        <f>INDEX(products!$A$1:$G$49,MATCH(orders!$D75,products!$A$1:$A$49,0),MATCH(orders!K$1,products!$A$1:$G$1,0))</f>
        <v>0.2</v>
      </c>
      <c r="L75">
        <f>INDEX(products!$A$1:$G$49,MATCH(orders!$D75,products!$A$1:$A$49,0),MATCH(orders!L$1,products!$A$1:$G$1,0))</f>
        <v>4.3650000000000002</v>
      </c>
    </row>
    <row r="76" spans="1:12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>
        <f>IF(_xlfn.XLOOKUP(orders!C76,customers!$A:$A,customers!$C:$C,,0)=0,"",_xlfn.XLOOKUP(orders!C76,customers!$A:$A,customers!$C:$C,,0))</f>
        <v>jrangall22@newsvine.com</v>
      </c>
      <c r="H76" s="2" t="str">
        <f>_xlfn.XLOOKUP(C76,customers!$A:$A,customers!$G:$G,,0)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>
        <f>INDEX(products!$A$1:$G$49,MATCH(orders!$D76,products!$A$1:$A$49,0),MATCH(orders!K$1,products!$A$1:$G$1,0))</f>
        <v>0.5</v>
      </c>
      <c r="L76">
        <f>INDEX(products!$A$1:$G$49,MATCH(orders!$D76,products!$A$1:$A$49,0),MATCH(orders!L$1,products!$A$1:$G$1,0))</f>
        <v>8.91</v>
      </c>
    </row>
    <row r="77" spans="1:12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>
        <f>IF(_xlfn.XLOOKUP(orders!C77,customers!$A:$A,customers!$C:$C,,0)=0,"",_xlfn.XLOOKUP(orders!C77,customers!$A:$A,customers!$C:$C,,0))</f>
        <v>kboorn23@ezinearticles.com</v>
      </c>
      <c r="H77" s="2" t="str">
        <f>_xlfn.XLOOKUP(C77,customers!$A:$A,customers!$G:$G,,0)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>
        <f>INDEX(products!$A$1:$G$49,MATCH(orders!$D77,products!$A$1:$A$49,0),MATCH(orders!K$1,products!$A$1:$G$1,0))</f>
        <v>1</v>
      </c>
      <c r="L77">
        <f>INDEX(products!$A$1:$G$49,MATCH(orders!$D77,products!$A$1:$A$49,0),MATCH(orders!L$1,products!$A$1:$G$1,0))</f>
        <v>8.9499999999999993</v>
      </c>
    </row>
    <row r="78" spans="1:12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 t="str">
        <f>IF(_xlfn.XLOOKUP(orders!C78,customers!$A:$A,customers!$C:$C,,0)=0,"",_xlfn.XLOOKUP(orders!C78,customers!$A:$A,customers!$C:$C,,0))</f>
        <v/>
      </c>
      <c r="H78" s="2" t="str">
        <f>_xlfn.XLOOKUP(C78,customers!$A:$A,customers!$G:$G,,0)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>
        <f>INDEX(products!$A$1:$G$49,MATCH(orders!$D78,products!$A$1:$A$49,0),MATCH(orders!K$1,products!$A$1:$G$1,0))</f>
        <v>0.2</v>
      </c>
      <c r="L78">
        <f>INDEX(products!$A$1:$G$49,MATCH(orders!$D78,products!$A$1:$A$49,0),MATCH(orders!L$1,products!$A$1:$G$1,0))</f>
        <v>3.5849999999999995</v>
      </c>
    </row>
    <row r="79" spans="1:12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>
        <f>IF(_xlfn.XLOOKUP(orders!C79,customers!$A:$A,customers!$C:$C,,0)=0,"",_xlfn.XLOOKUP(orders!C79,customers!$A:$A,customers!$C:$C,,0))</f>
        <v>celgey25@webs.com</v>
      </c>
      <c r="H79" s="2" t="str">
        <f>_xlfn.XLOOKUP(C79,customers!$A:$A,customers!$G:$G,,0)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>
        <f>INDEX(products!$A$1:$G$49,MATCH(orders!$D79,products!$A$1:$A$49,0),MATCH(orders!K$1,products!$A$1:$G$1,0))</f>
        <v>0.2</v>
      </c>
      <c r="L79">
        <f>INDEX(products!$A$1:$G$49,MATCH(orders!$D79,products!$A$1:$A$49,0),MATCH(orders!L$1,products!$A$1:$G$1,0))</f>
        <v>3.645</v>
      </c>
    </row>
    <row r="80" spans="1:12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>
        <f>IF(_xlfn.XLOOKUP(orders!C80,customers!$A:$A,customers!$C:$C,,0)=0,"",_xlfn.XLOOKUP(orders!C80,customers!$A:$A,customers!$C:$C,,0))</f>
        <v>lmizzi26@rakuten.co.jp</v>
      </c>
      <c r="H80" s="2" t="str">
        <f>_xlfn.XLOOKUP(C80,customers!$A:$A,customers!$G:$G,,0)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>
        <f>INDEX(products!$A$1:$G$49,MATCH(orders!$D80,products!$A$1:$A$49,0),MATCH(orders!K$1,products!$A$1:$G$1,0))</f>
        <v>0.5</v>
      </c>
      <c r="L80">
        <f>INDEX(products!$A$1:$G$49,MATCH(orders!$D80,products!$A$1:$A$49,0),MATCH(orders!L$1,products!$A$1:$G$1,0))</f>
        <v>6.75</v>
      </c>
    </row>
    <row r="81" spans="1:12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>
        <f>IF(_xlfn.XLOOKUP(orders!C81,customers!$A:$A,customers!$C:$C,,0)=0,"",_xlfn.XLOOKUP(orders!C81,customers!$A:$A,customers!$C:$C,,0))</f>
        <v>cgiacomazzo27@jigsy.com</v>
      </c>
      <c r="H81" s="2" t="str">
        <f>_xlfn.XLOOKUP(C81,customers!$A:$A,customers!$G:$G,,0)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>
        <f>INDEX(products!$A$1:$G$49,MATCH(orders!$D81,products!$A$1:$A$49,0),MATCH(orders!K$1,products!$A$1:$G$1,0))</f>
        <v>1</v>
      </c>
      <c r="L81">
        <f>INDEX(products!$A$1:$G$49,MATCH(orders!$D81,products!$A$1:$A$49,0),MATCH(orders!L$1,products!$A$1:$G$1,0))</f>
        <v>11.95</v>
      </c>
    </row>
    <row r="82" spans="1:12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>
        <f>IF(_xlfn.XLOOKUP(orders!C82,customers!$A:$A,customers!$C:$C,,0)=0,"",_xlfn.XLOOKUP(orders!C82,customers!$A:$A,customers!$C:$C,,0))</f>
        <v>aarnow28@arizona.edu</v>
      </c>
      <c r="H82" s="2" t="str">
        <f>_xlfn.XLOOKUP(C82,customers!$A:$A,customers!$G:$G,,0)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>
        <f>INDEX(products!$A$1:$G$49,MATCH(orders!$D82,products!$A$1:$A$49,0),MATCH(orders!K$1,products!$A$1:$G$1,0))</f>
        <v>0.5</v>
      </c>
      <c r="L82">
        <f>INDEX(products!$A$1:$G$49,MATCH(orders!$D82,products!$A$1:$A$49,0),MATCH(orders!L$1,products!$A$1:$G$1,0))</f>
        <v>7.77</v>
      </c>
    </row>
    <row r="83" spans="1:12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>
        <f>IF(_xlfn.XLOOKUP(orders!C83,customers!$A:$A,customers!$C:$C,,0)=0,"",_xlfn.XLOOKUP(orders!C83,customers!$A:$A,customers!$C:$C,,0))</f>
        <v>syann29@senate.gov</v>
      </c>
      <c r="H83" s="2" t="str">
        <f>_xlfn.XLOOKUP(C83,customers!$A:$A,customers!$G:$G,,0)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>
        <f>INDEX(products!$A$1:$G$49,MATCH(orders!$D83,products!$A$1:$A$49,0),MATCH(orders!K$1,products!$A$1:$G$1,0))</f>
        <v>2.5</v>
      </c>
      <c r="L83">
        <f>INDEX(products!$A$1:$G$49,MATCH(orders!$D83,products!$A$1:$A$49,0),MATCH(orders!L$1,products!$A$1:$G$1,0))</f>
        <v>36.454999999999998</v>
      </c>
    </row>
    <row r="84" spans="1:12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>
        <f>IF(_xlfn.XLOOKUP(orders!C84,customers!$A:$A,customers!$C:$C,,0)=0,"",_xlfn.XLOOKUP(orders!C84,customers!$A:$A,customers!$C:$C,,0))</f>
        <v>bnaulls2a@tiny.cc</v>
      </c>
      <c r="H84" s="2" t="str">
        <f>_xlfn.XLOOKUP(C84,customers!$A:$A,customers!$G:$G,,0)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>
        <f>INDEX(products!$A$1:$G$49,MATCH(orders!$D84,products!$A$1:$A$49,0),MATCH(orders!K$1,products!$A$1:$G$1,0))</f>
        <v>2.5</v>
      </c>
      <c r="L84">
        <f>INDEX(products!$A$1:$G$49,MATCH(orders!$D84,products!$A$1:$A$49,0),MATCH(orders!L$1,products!$A$1:$G$1,0))</f>
        <v>33.464999999999996</v>
      </c>
    </row>
    <row r="85" spans="1:12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 t="str">
        <f>IF(_xlfn.XLOOKUP(orders!C85,customers!$A:$A,customers!$C:$C,,0)=0,"",_xlfn.XLOOKUP(orders!C85,customers!$A:$A,customers!$C:$C,,0))</f>
        <v/>
      </c>
      <c r="H85" s="2" t="str">
        <f>_xlfn.XLOOKUP(C85,customers!$A:$A,customers!$G:$G,,0)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>
        <f>INDEX(products!$A$1:$G$49,MATCH(orders!$D85,products!$A$1:$A$49,0),MATCH(orders!K$1,products!$A$1:$G$1,0))</f>
        <v>2.5</v>
      </c>
      <c r="L85">
        <f>INDEX(products!$A$1:$G$49,MATCH(orders!$D85,products!$A$1:$A$49,0),MATCH(orders!L$1,products!$A$1:$G$1,0))</f>
        <v>20.584999999999997</v>
      </c>
    </row>
    <row r="86" spans="1:12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>
        <f>IF(_xlfn.XLOOKUP(orders!C86,customers!$A:$A,customers!$C:$C,,0)=0,"",_xlfn.XLOOKUP(orders!C86,customers!$A:$A,customers!$C:$C,,0))</f>
        <v>zsherewood2c@apache.org</v>
      </c>
      <c r="H86" s="2" t="str">
        <f>_xlfn.XLOOKUP(C86,customers!$A:$A,customers!$G:$G,,0)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>
        <f>INDEX(products!$A$1:$G$49,MATCH(orders!$D86,products!$A$1:$A$49,0),MATCH(orders!K$1,products!$A$1:$G$1,0))</f>
        <v>0.5</v>
      </c>
      <c r="L86">
        <f>INDEX(products!$A$1:$G$49,MATCH(orders!$D86,products!$A$1:$A$49,0),MATCH(orders!L$1,products!$A$1:$G$1,0))</f>
        <v>9.51</v>
      </c>
    </row>
    <row r="87" spans="1:12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>
        <f>IF(_xlfn.XLOOKUP(orders!C87,customers!$A:$A,customers!$C:$C,,0)=0,"",_xlfn.XLOOKUP(orders!C87,customers!$A:$A,customers!$C:$C,,0))</f>
        <v>jdufaire2d@fc2.com</v>
      </c>
      <c r="H87" s="2" t="str">
        <f>_xlfn.XLOOKUP(C87,customers!$A:$A,customers!$G:$G,,0)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>
        <f>INDEX(products!$A$1:$G$49,MATCH(orders!$D87,products!$A$1:$A$49,0),MATCH(orders!K$1,products!$A$1:$G$1,0))</f>
        <v>2.5</v>
      </c>
      <c r="L87">
        <f>INDEX(products!$A$1:$G$49,MATCH(orders!$D87,products!$A$1:$A$49,0),MATCH(orders!L$1,products!$A$1:$G$1,0))</f>
        <v>29.784999999999997</v>
      </c>
    </row>
    <row r="88" spans="1:12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>
        <f>IF(_xlfn.XLOOKUP(orders!C88,customers!$A:$A,customers!$C:$C,,0)=0,"",_xlfn.XLOOKUP(orders!C88,customers!$A:$A,customers!$C:$C,,0))</f>
        <v>jdufaire2d@fc2.com</v>
      </c>
      <c r="H88" s="2" t="str">
        <f>_xlfn.XLOOKUP(C88,customers!$A:$A,customers!$G:$G,,0)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>
        <f>INDEX(products!$A$1:$G$49,MATCH(orders!$D88,products!$A$1:$A$49,0),MATCH(orders!K$1,products!$A$1:$G$1,0))</f>
        <v>0.2</v>
      </c>
      <c r="L88">
        <f>INDEX(products!$A$1:$G$49,MATCH(orders!$D88,products!$A$1:$A$49,0),MATCH(orders!L$1,products!$A$1:$G$1,0))</f>
        <v>2.9849999999999999</v>
      </c>
    </row>
    <row r="89" spans="1:12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>
        <f>IF(_xlfn.XLOOKUP(orders!C89,customers!$A:$A,customers!$C:$C,,0)=0,"",_xlfn.XLOOKUP(orders!C89,customers!$A:$A,customers!$C:$C,,0))</f>
        <v>bkeaveney2f@netlog.com</v>
      </c>
      <c r="H89" s="2" t="str">
        <f>_xlfn.XLOOKUP(C89,customers!$A:$A,customers!$G:$G,,0)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>
        <f>INDEX(products!$A$1:$G$49,MATCH(orders!$D89,products!$A$1:$A$49,0),MATCH(orders!K$1,products!$A$1:$G$1,0))</f>
        <v>1</v>
      </c>
      <c r="L89">
        <f>INDEX(products!$A$1:$G$49,MATCH(orders!$D89,products!$A$1:$A$49,0),MATCH(orders!L$1,products!$A$1:$G$1,0))</f>
        <v>11.25</v>
      </c>
    </row>
    <row r="90" spans="1:12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>
        <f>IF(_xlfn.XLOOKUP(orders!C90,customers!$A:$A,customers!$C:$C,,0)=0,"",_xlfn.XLOOKUP(orders!C90,customers!$A:$A,customers!$C:$C,,0))</f>
        <v>egrise2g@cargocollective.com</v>
      </c>
      <c r="H90" s="2" t="str">
        <f>_xlfn.XLOOKUP(C90,customers!$A:$A,customers!$G:$G,,0)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>
        <f>INDEX(products!$A$1:$G$49,MATCH(orders!$D90,products!$A$1:$A$49,0),MATCH(orders!K$1,products!$A$1:$G$1,0))</f>
        <v>1</v>
      </c>
      <c r="L90">
        <f>INDEX(products!$A$1:$G$49,MATCH(orders!$D90,products!$A$1:$A$49,0),MATCH(orders!L$1,products!$A$1:$G$1,0))</f>
        <v>11.95</v>
      </c>
    </row>
    <row r="91" spans="1:12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>
        <f>IF(_xlfn.XLOOKUP(orders!C91,customers!$A:$A,customers!$C:$C,,0)=0,"",_xlfn.XLOOKUP(orders!C91,customers!$A:$A,customers!$C:$C,,0))</f>
        <v>tgottelier2h@vistaprint.com</v>
      </c>
      <c r="H91" s="2" t="str">
        <f>_xlfn.XLOOKUP(C91,customers!$A:$A,customers!$G:$G,,0)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>
        <f>INDEX(products!$A$1:$G$49,MATCH(orders!$D91,products!$A$1:$A$49,0),MATCH(orders!K$1,products!$A$1:$G$1,0))</f>
        <v>1</v>
      </c>
      <c r="L91">
        <f>INDEX(products!$A$1:$G$49,MATCH(orders!$D91,products!$A$1:$A$49,0),MATCH(orders!L$1,products!$A$1:$G$1,0))</f>
        <v>12.95</v>
      </c>
    </row>
    <row r="92" spans="1:12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 t="str">
        <f>IF(_xlfn.XLOOKUP(orders!C92,customers!$A:$A,customers!$C:$C,,0)=0,"",_xlfn.XLOOKUP(orders!C92,customers!$A:$A,customers!$C:$C,,0))</f>
        <v/>
      </c>
      <c r="H92" s="2" t="str">
        <f>_xlfn.XLOOKUP(C92,customers!$A:$A,customers!$G:$G,,0)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>
        <f>INDEX(products!$A$1:$G$49,MATCH(orders!$D92,products!$A$1:$A$49,0),MATCH(orders!K$1,products!$A$1:$G$1,0))</f>
        <v>1</v>
      </c>
      <c r="L92">
        <f>INDEX(products!$A$1:$G$49,MATCH(orders!$D92,products!$A$1:$A$49,0),MATCH(orders!L$1,products!$A$1:$G$1,0))</f>
        <v>12.95</v>
      </c>
    </row>
    <row r="93" spans="1:12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>
        <f>IF(_xlfn.XLOOKUP(orders!C93,customers!$A:$A,customers!$C:$C,,0)=0,"",_xlfn.XLOOKUP(orders!C93,customers!$A:$A,customers!$C:$C,,0))</f>
        <v>agreenhead2j@dailymail.co.uk</v>
      </c>
      <c r="H93" s="2" t="str">
        <f>_xlfn.XLOOKUP(C93,customers!$A:$A,customers!$G:$G,,0)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>
        <f>INDEX(products!$A$1:$G$49,MATCH(orders!$D93,products!$A$1:$A$49,0),MATCH(orders!K$1,products!$A$1:$G$1,0))</f>
        <v>2.5</v>
      </c>
      <c r="L93">
        <f>INDEX(products!$A$1:$G$49,MATCH(orders!$D93,products!$A$1:$A$49,0),MATCH(orders!L$1,products!$A$1:$G$1,0))</f>
        <v>25.874999999999996</v>
      </c>
    </row>
    <row r="94" spans="1:12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 t="str">
        <f>IF(_xlfn.XLOOKUP(orders!C94,customers!$A:$A,customers!$C:$C,,0)=0,"",_xlfn.XLOOKUP(orders!C94,customers!$A:$A,customers!$C:$C,,0))</f>
        <v/>
      </c>
      <c r="H94" s="2" t="str">
        <f>_xlfn.XLOOKUP(C94,customers!$A:$A,customers!$G:$G,,0)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>
        <f>INDEX(products!$A$1:$G$49,MATCH(orders!$D94,products!$A$1:$A$49,0),MATCH(orders!K$1,products!$A$1:$G$1,0))</f>
        <v>1</v>
      </c>
      <c r="L94">
        <f>INDEX(products!$A$1:$G$49,MATCH(orders!$D94,products!$A$1:$A$49,0),MATCH(orders!L$1,products!$A$1:$G$1,0))</f>
        <v>14.85</v>
      </c>
    </row>
    <row r="95" spans="1:12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>
        <f>IF(_xlfn.XLOOKUP(orders!C95,customers!$A:$A,customers!$C:$C,,0)=0,"",_xlfn.XLOOKUP(orders!C95,customers!$A:$A,customers!$C:$C,,0))</f>
        <v>elangcaster2l@spotify.com</v>
      </c>
      <c r="H95" s="2" t="str">
        <f>_xlfn.XLOOKUP(C95,customers!$A:$A,customers!$G:$G,,0)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>
        <f>INDEX(products!$A$1:$G$49,MATCH(orders!$D95,products!$A$1:$A$49,0),MATCH(orders!K$1,products!$A$1:$G$1,0))</f>
        <v>0.5</v>
      </c>
      <c r="L95">
        <f>INDEX(products!$A$1:$G$49,MATCH(orders!$D95,products!$A$1:$A$49,0),MATCH(orders!L$1,products!$A$1:$G$1,0))</f>
        <v>8.91</v>
      </c>
    </row>
    <row r="96" spans="1:12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 t="str">
        <f>IF(_xlfn.XLOOKUP(orders!C96,customers!$A:$A,customers!$C:$C,,0)=0,"",_xlfn.XLOOKUP(orders!C96,customers!$A:$A,customers!$C:$C,,0))</f>
        <v/>
      </c>
      <c r="H96" s="2" t="str">
        <f>_xlfn.XLOOKUP(C96,customers!$A:$A,customers!$G:$G,,0)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>
        <f>INDEX(products!$A$1:$G$49,MATCH(orders!$D96,products!$A$1:$A$49,0),MATCH(orders!K$1,products!$A$1:$G$1,0))</f>
        <v>0.2</v>
      </c>
      <c r="L96">
        <f>INDEX(products!$A$1:$G$49,MATCH(orders!$D96,products!$A$1:$A$49,0),MATCH(orders!L$1,products!$A$1:$G$1,0))</f>
        <v>2.9849999999999999</v>
      </c>
    </row>
    <row r="97" spans="1:12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>
        <f>IF(_xlfn.XLOOKUP(orders!C97,customers!$A:$A,customers!$C:$C,,0)=0,"",_xlfn.XLOOKUP(orders!C97,customers!$A:$A,customers!$C:$C,,0))</f>
        <v>nmagauran2n@51.la</v>
      </c>
      <c r="H97" s="2" t="str">
        <f>_xlfn.XLOOKUP(C97,customers!$A:$A,customers!$G:$G,,0)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>
        <f>INDEX(products!$A$1:$G$49,MATCH(orders!$D97,products!$A$1:$A$49,0),MATCH(orders!K$1,products!$A$1:$G$1,0))</f>
        <v>2.5</v>
      </c>
      <c r="L97">
        <f>INDEX(products!$A$1:$G$49,MATCH(orders!$D97,products!$A$1:$A$49,0),MATCH(orders!L$1,products!$A$1:$G$1,0))</f>
        <v>25.874999999999996</v>
      </c>
    </row>
    <row r="98" spans="1:12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>
        <f>IF(_xlfn.XLOOKUP(orders!C98,customers!$A:$A,customers!$C:$C,,0)=0,"",_xlfn.XLOOKUP(orders!C98,customers!$A:$A,customers!$C:$C,,0))</f>
        <v>vkirdsch2o@google.fr</v>
      </c>
      <c r="H98" s="2" t="str">
        <f>_xlfn.XLOOKUP(C98,customers!$A:$A,customers!$G:$G,,0)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>
        <f>INDEX(products!$A$1:$G$49,MATCH(orders!$D98,products!$A$1:$A$49,0),MATCH(orders!K$1,products!$A$1:$G$1,0))</f>
        <v>0.2</v>
      </c>
      <c r="L98">
        <f>INDEX(products!$A$1:$G$49,MATCH(orders!$D98,products!$A$1:$A$49,0),MATCH(orders!L$1,products!$A$1:$G$1,0))</f>
        <v>2.9849999999999999</v>
      </c>
    </row>
    <row r="99" spans="1:12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>
        <f>IF(_xlfn.XLOOKUP(orders!C99,customers!$A:$A,customers!$C:$C,,0)=0,"",_xlfn.XLOOKUP(orders!C99,customers!$A:$A,customers!$C:$C,,0))</f>
        <v>iwhapple2p@com.com</v>
      </c>
      <c r="H99" s="2" t="str">
        <f>_xlfn.XLOOKUP(C99,customers!$A:$A,customers!$G:$G,,0)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>
        <f>INDEX(products!$A$1:$G$49,MATCH(orders!$D99,products!$A$1:$A$49,0),MATCH(orders!K$1,products!$A$1:$G$1,0))</f>
        <v>0.5</v>
      </c>
      <c r="L99">
        <f>INDEX(products!$A$1:$G$49,MATCH(orders!$D99,products!$A$1:$A$49,0),MATCH(orders!L$1,products!$A$1:$G$1,0))</f>
        <v>6.75</v>
      </c>
    </row>
    <row r="100" spans="1:12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 t="str">
        <f>IF(_xlfn.XLOOKUP(orders!C100,customers!$A:$A,customers!$C:$C,,0)=0,"",_xlfn.XLOOKUP(orders!C100,customers!$A:$A,customers!$C:$C,,0))</f>
        <v/>
      </c>
      <c r="H100" s="2" t="str">
        <f>_xlfn.XLOOKUP(C100,customers!$A:$A,customers!$G:$G,,0)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>
        <f>INDEX(products!$A$1:$G$49,MATCH(orders!$D100,products!$A$1:$A$49,0),MATCH(orders!K$1,products!$A$1:$G$1,0))</f>
        <v>0.2</v>
      </c>
      <c r="L100">
        <f>INDEX(products!$A$1:$G$49,MATCH(orders!$D100,products!$A$1:$A$49,0),MATCH(orders!L$1,products!$A$1:$G$1,0))</f>
        <v>2.9849999999999999</v>
      </c>
    </row>
    <row r="101" spans="1:12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 t="str">
        <f>IF(_xlfn.XLOOKUP(orders!C101,customers!$A:$A,customers!$C:$C,,0)=0,"",_xlfn.XLOOKUP(orders!C101,customers!$A:$A,customers!$C:$C,,0))</f>
        <v/>
      </c>
      <c r="H101" s="2" t="str">
        <f>_xlfn.XLOOKUP(C101,customers!$A:$A,customers!$G:$G,,0)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>
        <f>INDEX(products!$A$1:$G$49,MATCH(orders!$D101,products!$A$1:$A$49,0),MATCH(orders!K$1,products!$A$1:$G$1,0))</f>
        <v>0.2</v>
      </c>
      <c r="L101">
        <f>INDEX(products!$A$1:$G$49,MATCH(orders!$D101,products!$A$1:$A$49,0),MATCH(orders!L$1,products!$A$1:$G$1,0))</f>
        <v>4.3650000000000002</v>
      </c>
    </row>
    <row r="102" spans="1:12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 t="str">
        <f>IF(_xlfn.XLOOKUP(orders!C102,customers!$A:$A,customers!$C:$C,,0)=0,"",_xlfn.XLOOKUP(orders!C102,customers!$A:$A,customers!$C:$C,,0))</f>
        <v/>
      </c>
      <c r="H102" s="2" t="str">
        <f>_xlfn.XLOOKUP(C102,customers!$A:$A,customers!$G:$G,,0)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>
        <f>INDEX(products!$A$1:$G$49,MATCH(orders!$D102,products!$A$1:$A$49,0),MATCH(orders!K$1,products!$A$1:$G$1,0))</f>
        <v>0.2</v>
      </c>
      <c r="L102">
        <f>INDEX(products!$A$1:$G$49,MATCH(orders!$D102,products!$A$1:$A$49,0),MATCH(orders!L$1,products!$A$1:$G$1,0))</f>
        <v>3.8849999999999998</v>
      </c>
    </row>
    <row r="103" spans="1:12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>
        <f>IF(_xlfn.XLOOKUP(orders!C103,customers!$A:$A,customers!$C:$C,,0)=0,"",_xlfn.XLOOKUP(orders!C103,customers!$A:$A,customers!$C:$C,,0))</f>
        <v>nyoules2t@reference.com</v>
      </c>
      <c r="H103" s="2" t="str">
        <f>_xlfn.XLOOKUP(C103,customers!$A:$A,customers!$G:$G,,0)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>
        <f>INDEX(products!$A$1:$G$49,MATCH(orders!$D103,products!$A$1:$A$49,0),MATCH(orders!K$1,products!$A$1:$G$1,0))</f>
        <v>2.5</v>
      </c>
      <c r="L103">
        <f>INDEX(products!$A$1:$G$49,MATCH(orders!$D103,products!$A$1:$A$49,0),MATCH(orders!L$1,products!$A$1:$G$1,0))</f>
        <v>29.784999999999997</v>
      </c>
    </row>
    <row r="104" spans="1:12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>
        <f>IF(_xlfn.XLOOKUP(orders!C104,customers!$A:$A,customers!$C:$C,,0)=0,"",_xlfn.XLOOKUP(orders!C104,customers!$A:$A,customers!$C:$C,,0))</f>
        <v>daizikovitz2u@answers.com</v>
      </c>
      <c r="H104" s="2" t="str">
        <f>_xlfn.XLOOKUP(C104,customers!$A:$A,customers!$G:$G,,0)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>
        <f>INDEX(products!$A$1:$G$49,MATCH(orders!$D104,products!$A$1:$A$49,0),MATCH(orders!K$1,products!$A$1:$G$1,0))</f>
        <v>1</v>
      </c>
      <c r="L104">
        <f>INDEX(products!$A$1:$G$49,MATCH(orders!$D104,products!$A$1:$A$49,0),MATCH(orders!L$1,products!$A$1:$G$1,0))</f>
        <v>12.95</v>
      </c>
    </row>
    <row r="105" spans="1:12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>
        <f>IF(_xlfn.XLOOKUP(orders!C105,customers!$A:$A,customers!$C:$C,,0)=0,"",_xlfn.XLOOKUP(orders!C105,customers!$A:$A,customers!$C:$C,,0))</f>
        <v>brevel2v@fastcompany.com</v>
      </c>
      <c r="H105" s="2" t="str">
        <f>_xlfn.XLOOKUP(C105,customers!$A:$A,customers!$G:$G,,0)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>
        <f>INDEX(products!$A$1:$G$49,MATCH(orders!$D105,products!$A$1:$A$49,0),MATCH(orders!K$1,products!$A$1:$G$1,0))</f>
        <v>0.2</v>
      </c>
      <c r="L105">
        <f>INDEX(products!$A$1:$G$49,MATCH(orders!$D105,products!$A$1:$A$49,0),MATCH(orders!L$1,products!$A$1:$G$1,0))</f>
        <v>2.9849999999999999</v>
      </c>
    </row>
    <row r="106" spans="1:12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>
        <f>IF(_xlfn.XLOOKUP(orders!C106,customers!$A:$A,customers!$C:$C,,0)=0,"",_xlfn.XLOOKUP(orders!C106,customers!$A:$A,customers!$C:$C,,0))</f>
        <v>epriddis2w@nationalgeographic.com</v>
      </c>
      <c r="H106" s="2" t="str">
        <f>_xlfn.XLOOKUP(C106,customers!$A:$A,customers!$G:$G,,0)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>
        <f>INDEX(products!$A$1:$G$49,MATCH(orders!$D106,products!$A$1:$A$49,0),MATCH(orders!K$1,products!$A$1:$G$1,0))</f>
        <v>1</v>
      </c>
      <c r="L106">
        <f>INDEX(products!$A$1:$G$49,MATCH(orders!$D106,products!$A$1:$A$49,0),MATCH(orders!L$1,products!$A$1:$G$1,0))</f>
        <v>14.55</v>
      </c>
    </row>
    <row r="107" spans="1:12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>
        <f>IF(_xlfn.XLOOKUP(orders!C107,customers!$A:$A,customers!$C:$C,,0)=0,"",_xlfn.XLOOKUP(orders!C107,customers!$A:$A,customers!$C:$C,,0))</f>
        <v>qveel2x@jugem.jp</v>
      </c>
      <c r="H107" s="2" t="str">
        <f>_xlfn.XLOOKUP(C107,customers!$A:$A,customers!$G:$G,,0)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>
        <f>INDEX(products!$A$1:$G$49,MATCH(orders!$D107,products!$A$1:$A$49,0),MATCH(orders!K$1,products!$A$1:$G$1,0))</f>
        <v>0.5</v>
      </c>
      <c r="L107">
        <f>INDEX(products!$A$1:$G$49,MATCH(orders!$D107,products!$A$1:$A$49,0),MATCH(orders!L$1,products!$A$1:$G$1,0))</f>
        <v>6.75</v>
      </c>
    </row>
    <row r="108" spans="1:12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>
        <f>IF(_xlfn.XLOOKUP(orders!C108,customers!$A:$A,customers!$C:$C,,0)=0,"",_xlfn.XLOOKUP(orders!C108,customers!$A:$A,customers!$C:$C,,0))</f>
        <v>lconyers2y@twitter.com</v>
      </c>
      <c r="H108" s="2" t="str">
        <f>_xlfn.XLOOKUP(C108,customers!$A:$A,customers!$G:$G,,0)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>
        <f>INDEX(products!$A$1:$G$49,MATCH(orders!$D108,products!$A$1:$A$49,0),MATCH(orders!K$1,products!$A$1:$G$1,0))</f>
        <v>1</v>
      </c>
      <c r="L108">
        <f>INDEX(products!$A$1:$G$49,MATCH(orders!$D108,products!$A$1:$A$49,0),MATCH(orders!L$1,products!$A$1:$G$1,0))</f>
        <v>12.15</v>
      </c>
    </row>
    <row r="109" spans="1:12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>
        <f>IF(_xlfn.XLOOKUP(orders!C109,customers!$A:$A,customers!$C:$C,,0)=0,"",_xlfn.XLOOKUP(orders!C109,customers!$A:$A,customers!$C:$C,,0))</f>
        <v>pwye2z@dagondesign.com</v>
      </c>
      <c r="H109" s="2" t="str">
        <f>_xlfn.XLOOKUP(C109,customers!$A:$A,customers!$G:$G,,0)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>
        <f>INDEX(products!$A$1:$G$49,MATCH(orders!$D109,products!$A$1:$A$49,0),MATCH(orders!K$1,products!$A$1:$G$1,0))</f>
        <v>0.5</v>
      </c>
      <c r="L109">
        <f>INDEX(products!$A$1:$G$49,MATCH(orders!$D109,products!$A$1:$A$49,0),MATCH(orders!L$1,products!$A$1:$G$1,0))</f>
        <v>5.97</v>
      </c>
    </row>
    <row r="110" spans="1:12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 t="str">
        <f>IF(_xlfn.XLOOKUP(orders!C110,customers!$A:$A,customers!$C:$C,,0)=0,"",_xlfn.XLOOKUP(orders!C110,customers!$A:$A,customers!$C:$C,,0))</f>
        <v/>
      </c>
      <c r="H110" s="2" t="str">
        <f>_xlfn.XLOOKUP(C110,customers!$A:$A,customers!$G:$G,,0)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>
        <f>INDEX(products!$A$1:$G$49,MATCH(orders!$D110,products!$A$1:$A$49,0),MATCH(orders!K$1,products!$A$1:$G$1,0))</f>
        <v>0.5</v>
      </c>
      <c r="L110">
        <f>INDEX(products!$A$1:$G$49,MATCH(orders!$D110,products!$A$1:$A$49,0),MATCH(orders!L$1,products!$A$1:$G$1,0))</f>
        <v>6.75</v>
      </c>
    </row>
    <row r="111" spans="1:12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>
        <f>IF(_xlfn.XLOOKUP(orders!C111,customers!$A:$A,customers!$C:$C,,0)=0,"",_xlfn.XLOOKUP(orders!C111,customers!$A:$A,customers!$C:$C,,0))</f>
        <v>tsheryn31@mtv.com</v>
      </c>
      <c r="H111" s="2" t="str">
        <f>_xlfn.XLOOKUP(C111,customers!$A:$A,customers!$G:$G,,0)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>
        <f>INDEX(products!$A$1:$G$49,MATCH(orders!$D111,products!$A$1:$A$49,0),MATCH(orders!K$1,products!$A$1:$G$1,0))</f>
        <v>0.5</v>
      </c>
      <c r="L111">
        <f>INDEX(products!$A$1:$G$49,MATCH(orders!$D111,products!$A$1:$A$49,0),MATCH(orders!L$1,products!$A$1:$G$1,0))</f>
        <v>7.77</v>
      </c>
    </row>
    <row r="112" spans="1:12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>
        <f>IF(_xlfn.XLOOKUP(orders!C112,customers!$A:$A,customers!$C:$C,,0)=0,"",_xlfn.XLOOKUP(orders!C112,customers!$A:$A,customers!$C:$C,,0))</f>
        <v>mredgrave32@cargocollective.com</v>
      </c>
      <c r="H112" s="2" t="str">
        <f>_xlfn.XLOOKUP(C112,customers!$A:$A,customers!$G:$G,,0)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>
        <f>INDEX(products!$A$1:$G$49,MATCH(orders!$D112,products!$A$1:$A$49,0),MATCH(orders!K$1,products!$A$1:$G$1,0))</f>
        <v>0.2</v>
      </c>
      <c r="L112">
        <f>INDEX(products!$A$1:$G$49,MATCH(orders!$D112,products!$A$1:$A$49,0),MATCH(orders!L$1,products!$A$1:$G$1,0))</f>
        <v>4.4550000000000001</v>
      </c>
    </row>
    <row r="113" spans="1:12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>
        <f>IF(_xlfn.XLOOKUP(orders!C113,customers!$A:$A,customers!$C:$C,,0)=0,"",_xlfn.XLOOKUP(orders!C113,customers!$A:$A,customers!$C:$C,,0))</f>
        <v>bfominov33@yale.edu</v>
      </c>
      <c r="H113" s="2" t="str">
        <f>_xlfn.XLOOKUP(C113,customers!$A:$A,customers!$G:$G,,0)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>
        <f>INDEX(products!$A$1:$G$49,MATCH(orders!$D113,products!$A$1:$A$49,0),MATCH(orders!K$1,products!$A$1:$G$1,0))</f>
        <v>0.5</v>
      </c>
      <c r="L113">
        <f>INDEX(products!$A$1:$G$49,MATCH(orders!$D113,products!$A$1:$A$49,0),MATCH(orders!L$1,products!$A$1:$G$1,0))</f>
        <v>5.3699999999999992</v>
      </c>
    </row>
    <row r="114" spans="1:12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>
        <f>IF(_xlfn.XLOOKUP(orders!C114,customers!$A:$A,customers!$C:$C,,0)=0,"",_xlfn.XLOOKUP(orders!C114,customers!$A:$A,customers!$C:$C,,0))</f>
        <v>scritchlow34@un.org</v>
      </c>
      <c r="H114" s="2" t="str">
        <f>_xlfn.XLOOKUP(C114,customers!$A:$A,customers!$G:$G,,0)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>
        <f>INDEX(products!$A$1:$G$49,MATCH(orders!$D114,products!$A$1:$A$49,0),MATCH(orders!K$1,products!$A$1:$G$1,0))</f>
        <v>1</v>
      </c>
      <c r="L114">
        <f>INDEX(products!$A$1:$G$49,MATCH(orders!$D114,products!$A$1:$A$49,0),MATCH(orders!L$1,products!$A$1:$G$1,0))</f>
        <v>11.25</v>
      </c>
    </row>
    <row r="115" spans="1:12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>
        <f>IF(_xlfn.XLOOKUP(orders!C115,customers!$A:$A,customers!$C:$C,,0)=0,"",_xlfn.XLOOKUP(orders!C115,customers!$A:$A,customers!$C:$C,,0))</f>
        <v>msteptow35@earthlink.net</v>
      </c>
      <c r="H115" s="2" t="str">
        <f>_xlfn.XLOOKUP(C115,customers!$A:$A,customers!$G:$G,,0)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>
        <f>INDEX(products!$A$1:$G$49,MATCH(orders!$D115,products!$A$1:$A$49,0),MATCH(orders!K$1,products!$A$1:$G$1,0))</f>
        <v>1</v>
      </c>
      <c r="L115">
        <f>INDEX(products!$A$1:$G$49,MATCH(orders!$D115,products!$A$1:$A$49,0),MATCH(orders!L$1,products!$A$1:$G$1,0))</f>
        <v>14.55</v>
      </c>
    </row>
    <row r="116" spans="1:12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 t="str">
        <f>IF(_xlfn.XLOOKUP(orders!C116,customers!$A:$A,customers!$C:$C,,0)=0,"",_xlfn.XLOOKUP(orders!C116,customers!$A:$A,customers!$C:$C,,0))</f>
        <v/>
      </c>
      <c r="H116" s="2" t="str">
        <f>_xlfn.XLOOKUP(C116,customers!$A:$A,customers!$G:$G,,0)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>
        <f>INDEX(products!$A$1:$G$49,MATCH(orders!$D116,products!$A$1:$A$49,0),MATCH(orders!K$1,products!$A$1:$G$1,0))</f>
        <v>0.2</v>
      </c>
      <c r="L116">
        <f>INDEX(products!$A$1:$G$49,MATCH(orders!$D116,products!$A$1:$A$49,0),MATCH(orders!L$1,products!$A$1:$G$1,0))</f>
        <v>3.5849999999999995</v>
      </c>
    </row>
    <row r="117" spans="1:12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>
        <f>IF(_xlfn.XLOOKUP(orders!C117,customers!$A:$A,customers!$C:$C,,0)=0,"",_xlfn.XLOOKUP(orders!C117,customers!$A:$A,customers!$C:$C,,0))</f>
        <v>imulliner37@pinterest.com</v>
      </c>
      <c r="H117" s="2" t="str">
        <f>_xlfn.XLOOKUP(C117,customers!$A:$A,customers!$G:$G,,0)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>
        <f>INDEX(products!$A$1:$G$49,MATCH(orders!$D117,products!$A$1:$A$49,0),MATCH(orders!K$1,products!$A$1:$G$1,0))</f>
        <v>1</v>
      </c>
      <c r="L117">
        <f>INDEX(products!$A$1:$G$49,MATCH(orders!$D117,products!$A$1:$A$49,0),MATCH(orders!L$1,products!$A$1:$G$1,0))</f>
        <v>15.85</v>
      </c>
    </row>
    <row r="118" spans="1:12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>
        <f>IF(_xlfn.XLOOKUP(orders!C118,customers!$A:$A,customers!$C:$C,,0)=0,"",_xlfn.XLOOKUP(orders!C118,customers!$A:$A,customers!$C:$C,,0))</f>
        <v>gstandley38@dion.ne.jp</v>
      </c>
      <c r="H118" s="2" t="str">
        <f>_xlfn.XLOOKUP(C118,customers!$A:$A,customers!$G:$G,,0)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>
        <f>INDEX(products!$A$1:$G$49,MATCH(orders!$D118,products!$A$1:$A$49,0),MATCH(orders!K$1,products!$A$1:$G$1,0))</f>
        <v>0.2</v>
      </c>
      <c r="L118">
        <f>INDEX(products!$A$1:$G$49,MATCH(orders!$D118,products!$A$1:$A$49,0),MATCH(orders!L$1,products!$A$1:$G$1,0))</f>
        <v>4.7549999999999999</v>
      </c>
    </row>
    <row r="119" spans="1:12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>
        <f>IF(_xlfn.XLOOKUP(orders!C119,customers!$A:$A,customers!$C:$C,,0)=0,"",_xlfn.XLOOKUP(orders!C119,customers!$A:$A,customers!$C:$C,,0))</f>
        <v>bdrage39@youku.com</v>
      </c>
      <c r="H119" s="2" t="str">
        <f>_xlfn.XLOOKUP(C119,customers!$A:$A,customers!$G:$G,,0)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>
        <f>INDEX(products!$A$1:$G$49,MATCH(orders!$D119,products!$A$1:$A$49,0),MATCH(orders!K$1,products!$A$1:$G$1,0))</f>
        <v>0.5</v>
      </c>
      <c r="L119">
        <f>INDEX(products!$A$1:$G$49,MATCH(orders!$D119,products!$A$1:$A$49,0),MATCH(orders!L$1,products!$A$1:$G$1,0))</f>
        <v>9.51</v>
      </c>
    </row>
    <row r="120" spans="1:12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>
        <f>IF(_xlfn.XLOOKUP(orders!C120,customers!$A:$A,customers!$C:$C,,0)=0,"",_xlfn.XLOOKUP(orders!C120,customers!$A:$A,customers!$C:$C,,0))</f>
        <v>myallop3a@fema.gov</v>
      </c>
      <c r="H120" s="2" t="str">
        <f>_xlfn.XLOOKUP(C120,customers!$A:$A,customers!$G:$G,,0)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>
        <f>INDEX(products!$A$1:$G$49,MATCH(orders!$D120,products!$A$1:$A$49,0),MATCH(orders!K$1,products!$A$1:$G$1,0))</f>
        <v>0.5</v>
      </c>
      <c r="L120">
        <f>INDEX(products!$A$1:$G$49,MATCH(orders!$D120,products!$A$1:$A$49,0),MATCH(orders!L$1,products!$A$1:$G$1,0))</f>
        <v>7.29</v>
      </c>
    </row>
    <row r="121" spans="1:12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>
        <f>IF(_xlfn.XLOOKUP(orders!C121,customers!$A:$A,customers!$C:$C,,0)=0,"",_xlfn.XLOOKUP(orders!C121,customers!$A:$A,customers!$C:$C,,0))</f>
        <v>cswitsur3b@chronoengine.com</v>
      </c>
      <c r="H121" s="2" t="str">
        <f>_xlfn.XLOOKUP(C121,customers!$A:$A,customers!$G:$G,,0)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>
        <f>INDEX(products!$A$1:$G$49,MATCH(orders!$D121,products!$A$1:$A$49,0),MATCH(orders!K$1,products!$A$1:$G$1,0))</f>
        <v>0.2</v>
      </c>
      <c r="L121">
        <f>INDEX(products!$A$1:$G$49,MATCH(orders!$D121,products!$A$1:$A$49,0),MATCH(orders!L$1,products!$A$1:$G$1,0))</f>
        <v>4.125</v>
      </c>
    </row>
    <row r="122" spans="1:12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>
        <f>IF(_xlfn.XLOOKUP(orders!C122,customers!$A:$A,customers!$C:$C,,0)=0,"",_xlfn.XLOOKUP(orders!C122,customers!$A:$A,customers!$C:$C,,0))</f>
        <v>cswitsur3b@chronoengine.com</v>
      </c>
      <c r="H122" s="2" t="str">
        <f>_xlfn.XLOOKUP(C122,customers!$A:$A,customers!$G:$G,,0)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>
        <f>INDEX(products!$A$1:$G$49,MATCH(orders!$D122,products!$A$1:$A$49,0),MATCH(orders!K$1,products!$A$1:$G$1,0))</f>
        <v>0.2</v>
      </c>
      <c r="L122">
        <f>INDEX(products!$A$1:$G$49,MATCH(orders!$D122,products!$A$1:$A$49,0),MATCH(orders!L$1,products!$A$1:$G$1,0))</f>
        <v>3.8849999999999998</v>
      </c>
    </row>
    <row r="123" spans="1:12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>
        <f>IF(_xlfn.XLOOKUP(orders!C123,customers!$A:$A,customers!$C:$C,,0)=0,"",_xlfn.XLOOKUP(orders!C123,customers!$A:$A,customers!$C:$C,,0))</f>
        <v>cswitsur3b@chronoengine.com</v>
      </c>
      <c r="H123" s="2" t="str">
        <f>_xlfn.XLOOKUP(C123,customers!$A:$A,customers!$G:$G,,0)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>
        <f>INDEX(products!$A$1:$G$49,MATCH(orders!$D123,products!$A$1:$A$49,0),MATCH(orders!K$1,products!$A$1:$G$1,0))</f>
        <v>1</v>
      </c>
      <c r="L123">
        <f>INDEX(products!$A$1:$G$49,MATCH(orders!$D123,products!$A$1:$A$49,0),MATCH(orders!L$1,products!$A$1:$G$1,0))</f>
        <v>13.75</v>
      </c>
    </row>
    <row r="124" spans="1:12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>
        <f>IF(_xlfn.XLOOKUP(orders!C124,customers!$A:$A,customers!$C:$C,,0)=0,"",_xlfn.XLOOKUP(orders!C124,customers!$A:$A,customers!$C:$C,,0))</f>
        <v>mludwell3e@blogger.com</v>
      </c>
      <c r="H124" s="2" t="str">
        <f>_xlfn.XLOOKUP(C124,customers!$A:$A,customers!$G:$G,,0)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>
        <f>INDEX(products!$A$1:$G$49,MATCH(orders!$D124,products!$A$1:$A$49,0),MATCH(orders!K$1,products!$A$1:$G$1,0))</f>
        <v>0.5</v>
      </c>
      <c r="L124">
        <f>INDEX(products!$A$1:$G$49,MATCH(orders!$D124,products!$A$1:$A$49,0),MATCH(orders!L$1,products!$A$1:$G$1,0))</f>
        <v>5.97</v>
      </c>
    </row>
    <row r="125" spans="1:12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>
        <f>IF(_xlfn.XLOOKUP(orders!C125,customers!$A:$A,customers!$C:$C,,0)=0,"",_xlfn.XLOOKUP(orders!C125,customers!$A:$A,customers!$C:$C,,0))</f>
        <v>dbeauchamp3f@usda.gov</v>
      </c>
      <c r="H125" s="2" t="str">
        <f>_xlfn.XLOOKUP(C125,customers!$A:$A,customers!$G:$G,,0)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>
        <f>INDEX(products!$A$1:$G$49,MATCH(orders!$D125,products!$A$1:$A$49,0),MATCH(orders!K$1,products!$A$1:$G$1,0))</f>
        <v>2.5</v>
      </c>
      <c r="L125">
        <f>INDEX(products!$A$1:$G$49,MATCH(orders!$D125,products!$A$1:$A$49,0),MATCH(orders!L$1,products!$A$1:$G$1,0))</f>
        <v>36.454999999999998</v>
      </c>
    </row>
    <row r="126" spans="1:12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>
        <f>IF(_xlfn.XLOOKUP(orders!C126,customers!$A:$A,customers!$C:$C,,0)=0,"",_xlfn.XLOOKUP(orders!C126,customers!$A:$A,customers!$C:$C,,0))</f>
        <v>srodliff3g@ted.com</v>
      </c>
      <c r="H126" s="2" t="str">
        <f>_xlfn.XLOOKUP(C126,customers!$A:$A,customers!$G:$G,,0)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>
        <f>INDEX(products!$A$1:$G$49,MATCH(orders!$D126,products!$A$1:$A$49,0),MATCH(orders!K$1,products!$A$1:$G$1,0))</f>
        <v>0.2</v>
      </c>
      <c r="L126">
        <f>INDEX(products!$A$1:$G$49,MATCH(orders!$D126,products!$A$1:$A$49,0),MATCH(orders!L$1,products!$A$1:$G$1,0))</f>
        <v>4.3650000000000002</v>
      </c>
    </row>
    <row r="127" spans="1:12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>
        <f>IF(_xlfn.XLOOKUP(orders!C127,customers!$A:$A,customers!$C:$C,,0)=0,"",_xlfn.XLOOKUP(orders!C127,customers!$A:$A,customers!$C:$C,,0))</f>
        <v>swoodham3h@businesswire.com</v>
      </c>
      <c r="H127" s="2" t="str">
        <f>_xlfn.XLOOKUP(C127,customers!$A:$A,customers!$G:$G,,0)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>
        <f>INDEX(products!$A$1:$G$49,MATCH(orders!$D127,products!$A$1:$A$49,0),MATCH(orders!K$1,products!$A$1:$G$1,0))</f>
        <v>0.5</v>
      </c>
      <c r="L127">
        <f>INDEX(products!$A$1:$G$49,MATCH(orders!$D127,products!$A$1:$A$49,0),MATCH(orders!L$1,products!$A$1:$G$1,0))</f>
        <v>8.73</v>
      </c>
    </row>
    <row r="128" spans="1:12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>
        <f>IF(_xlfn.XLOOKUP(orders!C128,customers!$A:$A,customers!$C:$C,,0)=0,"",_xlfn.XLOOKUP(orders!C128,customers!$A:$A,customers!$C:$C,,0))</f>
        <v>hsynnot3i@about.com</v>
      </c>
      <c r="H128" s="2" t="str">
        <f>_xlfn.XLOOKUP(C128,customers!$A:$A,customers!$G:$G,,0)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>
        <f>INDEX(products!$A$1:$G$49,MATCH(orders!$D128,products!$A$1:$A$49,0),MATCH(orders!K$1,products!$A$1:$G$1,0))</f>
        <v>1</v>
      </c>
      <c r="L128">
        <f>INDEX(products!$A$1:$G$49,MATCH(orders!$D128,products!$A$1:$A$49,0),MATCH(orders!L$1,products!$A$1:$G$1,0))</f>
        <v>11.25</v>
      </c>
    </row>
    <row r="129" spans="1:12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>
        <f>IF(_xlfn.XLOOKUP(orders!C129,customers!$A:$A,customers!$C:$C,,0)=0,"",_xlfn.XLOOKUP(orders!C129,customers!$A:$A,customers!$C:$C,,0))</f>
        <v>rlepere3j@shop-pro.jp</v>
      </c>
      <c r="H129" s="2" t="str">
        <f>_xlfn.XLOOKUP(C129,customers!$A:$A,customers!$G:$G,,0)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>
        <f>INDEX(products!$A$1:$G$49,MATCH(orders!$D129,products!$A$1:$A$49,0),MATCH(orders!K$1,products!$A$1:$G$1,0))</f>
        <v>1</v>
      </c>
      <c r="L129">
        <f>INDEX(products!$A$1:$G$49,MATCH(orders!$D129,products!$A$1:$A$49,0),MATCH(orders!L$1,products!$A$1:$G$1,0))</f>
        <v>12.95</v>
      </c>
    </row>
    <row r="130" spans="1:12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>
        <f>IF(_xlfn.XLOOKUP(orders!C130,customers!$A:$A,customers!$C:$C,,0)=0,"",_xlfn.XLOOKUP(orders!C130,customers!$A:$A,customers!$C:$C,,0))</f>
        <v>twoofinden3k@businesswire.com</v>
      </c>
      <c r="H130" s="2" t="str">
        <f>_xlfn.XLOOKUP(C130,customers!$A:$A,customers!$G:$G,,0)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>
        <f>INDEX(products!$A$1:$G$49,MATCH(orders!$D130,products!$A$1:$A$49,0),MATCH(orders!K$1,products!$A$1:$G$1,0))</f>
        <v>0.5</v>
      </c>
      <c r="L130">
        <f>INDEX(products!$A$1:$G$49,MATCH(orders!$D130,products!$A$1:$A$49,0),MATCH(orders!L$1,products!$A$1:$G$1,0))</f>
        <v>6.75</v>
      </c>
    </row>
    <row r="131" spans="1:12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>
        <f>IF(_xlfn.XLOOKUP(orders!C131,customers!$A:$A,customers!$C:$C,,0)=0,"",_xlfn.XLOOKUP(orders!C131,customers!$A:$A,customers!$C:$C,,0))</f>
        <v>edacca3l@google.pl</v>
      </c>
      <c r="H131" s="2" t="str">
        <f>_xlfn.XLOOKUP(C131,customers!$A:$A,customers!$G:$G,,0)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>
        <f>INDEX(products!$A$1:$G$49,MATCH(orders!$D131,products!$A$1:$A$49,0),MATCH(orders!K$1,products!$A$1:$G$1,0))</f>
        <v>1</v>
      </c>
      <c r="L131">
        <f>INDEX(products!$A$1:$G$49,MATCH(orders!$D131,products!$A$1:$A$49,0),MATCH(orders!L$1,products!$A$1:$G$1,0))</f>
        <v>12.15</v>
      </c>
    </row>
    <row r="132" spans="1:12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 t="str">
        <f>IF(_xlfn.XLOOKUP(orders!C132,customers!$A:$A,customers!$C:$C,,0)=0,"",_xlfn.XLOOKUP(orders!C132,customers!$A:$A,customers!$C:$C,,0))</f>
        <v/>
      </c>
      <c r="H132" s="2" t="str">
        <f>_xlfn.XLOOKUP(C132,customers!$A:$A,customers!$G:$G,,0)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>
        <f>INDEX(products!$A$1:$G$49,MATCH(orders!$D132,products!$A$1:$A$49,0),MATCH(orders!K$1,products!$A$1:$G$1,0))</f>
        <v>2.5</v>
      </c>
      <c r="L132">
        <f>INDEX(products!$A$1:$G$49,MATCH(orders!$D132,products!$A$1:$A$49,0),MATCH(orders!L$1,products!$A$1:$G$1,0))</f>
        <v>29.784999999999997</v>
      </c>
    </row>
    <row r="133" spans="1:12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>
        <f>IF(_xlfn.XLOOKUP(orders!C133,customers!$A:$A,customers!$C:$C,,0)=0,"",_xlfn.XLOOKUP(orders!C133,customers!$A:$A,customers!$C:$C,,0))</f>
        <v>bhindsberg3n@blogs.com</v>
      </c>
      <c r="H133" s="2" t="str">
        <f>_xlfn.XLOOKUP(C133,customers!$A:$A,customers!$G:$G,,0)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>
        <f>INDEX(products!$A$1:$G$49,MATCH(orders!$D133,products!$A$1:$A$49,0),MATCH(orders!K$1,products!$A$1:$G$1,0))</f>
        <v>0.5</v>
      </c>
      <c r="L133">
        <f>INDEX(products!$A$1:$G$49,MATCH(orders!$D133,products!$A$1:$A$49,0),MATCH(orders!L$1,products!$A$1:$G$1,0))</f>
        <v>7.29</v>
      </c>
    </row>
    <row r="134" spans="1:12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>
        <f>IF(_xlfn.XLOOKUP(orders!C134,customers!$A:$A,customers!$C:$C,,0)=0,"",_xlfn.XLOOKUP(orders!C134,customers!$A:$A,customers!$C:$C,,0))</f>
        <v>orobins3o@salon.com</v>
      </c>
      <c r="H134" s="2" t="str">
        <f>_xlfn.XLOOKUP(C134,customers!$A:$A,customers!$G:$G,,0)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>
        <f>INDEX(products!$A$1:$G$49,MATCH(orders!$D134,products!$A$1:$A$49,0),MATCH(orders!K$1,products!$A$1:$G$1,0))</f>
        <v>2.5</v>
      </c>
      <c r="L134">
        <f>INDEX(products!$A$1:$G$49,MATCH(orders!$D134,products!$A$1:$A$49,0),MATCH(orders!L$1,products!$A$1:$G$1,0))</f>
        <v>29.784999999999997</v>
      </c>
    </row>
    <row r="135" spans="1:12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>
        <f>IF(_xlfn.XLOOKUP(orders!C135,customers!$A:$A,customers!$C:$C,,0)=0,"",_xlfn.XLOOKUP(orders!C135,customers!$A:$A,customers!$C:$C,,0))</f>
        <v>osyseland3p@independent.co.uk</v>
      </c>
      <c r="H135" s="2" t="str">
        <f>_xlfn.XLOOKUP(C135,customers!$A:$A,customers!$G:$G,,0)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>
        <f>INDEX(products!$A$1:$G$49,MATCH(orders!$D135,products!$A$1:$A$49,0),MATCH(orders!K$1,products!$A$1:$G$1,0))</f>
        <v>1</v>
      </c>
      <c r="L135">
        <f>INDEX(products!$A$1:$G$49,MATCH(orders!$D135,products!$A$1:$A$49,0),MATCH(orders!L$1,products!$A$1:$G$1,0))</f>
        <v>12.95</v>
      </c>
    </row>
    <row r="136" spans="1:12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 t="str">
        <f>IF(_xlfn.XLOOKUP(orders!C136,customers!$A:$A,customers!$C:$C,,0)=0,"",_xlfn.XLOOKUP(orders!C136,customers!$A:$A,customers!$C:$C,,0))</f>
        <v/>
      </c>
      <c r="H136" s="2" t="str">
        <f>_xlfn.XLOOKUP(C136,customers!$A:$A,customers!$G:$G,,0)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>
        <f>INDEX(products!$A$1:$G$49,MATCH(orders!$D136,products!$A$1:$A$49,0),MATCH(orders!K$1,products!$A$1:$G$1,0))</f>
        <v>2.5</v>
      </c>
      <c r="L136">
        <f>INDEX(products!$A$1:$G$49,MATCH(orders!$D136,products!$A$1:$A$49,0),MATCH(orders!L$1,products!$A$1:$G$1,0))</f>
        <v>31.624999999999996</v>
      </c>
    </row>
    <row r="137" spans="1:12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>
        <f>IF(_xlfn.XLOOKUP(orders!C137,customers!$A:$A,customers!$C:$C,,0)=0,"",_xlfn.XLOOKUP(orders!C137,customers!$A:$A,customers!$C:$C,,0))</f>
        <v>bmcamish2e@tripadvisor.com</v>
      </c>
      <c r="H137" s="2" t="str">
        <f>_xlfn.XLOOKUP(C137,customers!$A:$A,customers!$G:$G,,0)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>
        <f>INDEX(products!$A$1:$G$49,MATCH(orders!$D137,products!$A$1:$A$49,0),MATCH(orders!K$1,products!$A$1:$G$1,0))</f>
        <v>0.5</v>
      </c>
      <c r="L137">
        <f>INDEX(products!$A$1:$G$49,MATCH(orders!$D137,products!$A$1:$A$49,0),MATCH(orders!L$1,products!$A$1:$G$1,0))</f>
        <v>7.77</v>
      </c>
    </row>
    <row r="138" spans="1:12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>
        <f>IF(_xlfn.XLOOKUP(orders!C138,customers!$A:$A,customers!$C:$C,,0)=0,"",_xlfn.XLOOKUP(orders!C138,customers!$A:$A,customers!$C:$C,,0))</f>
        <v>lkeenleyside3s@topsy.com</v>
      </c>
      <c r="H138" s="2" t="str">
        <f>_xlfn.XLOOKUP(C138,customers!$A:$A,customers!$G:$G,,0)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>
        <f>INDEX(products!$A$1:$G$49,MATCH(orders!$D138,products!$A$1:$A$49,0),MATCH(orders!K$1,products!$A$1:$G$1,0))</f>
        <v>0.2</v>
      </c>
      <c r="L138">
        <f>INDEX(products!$A$1:$G$49,MATCH(orders!$D138,products!$A$1:$A$49,0),MATCH(orders!L$1,products!$A$1:$G$1,0))</f>
        <v>2.9849999999999999</v>
      </c>
    </row>
    <row r="139" spans="1:12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 t="str">
        <f>IF(_xlfn.XLOOKUP(orders!C139,customers!$A:$A,customers!$C:$C,,0)=0,"",_xlfn.XLOOKUP(orders!C139,customers!$A:$A,customers!$C:$C,,0))</f>
        <v/>
      </c>
      <c r="H139" s="2" t="str">
        <f>_xlfn.XLOOKUP(C139,customers!$A:$A,customers!$G:$G,,0)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>
        <f>INDEX(products!$A$1:$G$49,MATCH(orders!$D139,products!$A$1:$A$49,0),MATCH(orders!K$1,products!$A$1:$G$1,0))</f>
        <v>2.5</v>
      </c>
      <c r="L139">
        <f>INDEX(products!$A$1:$G$49,MATCH(orders!$D139,products!$A$1:$A$49,0),MATCH(orders!L$1,products!$A$1:$G$1,0))</f>
        <v>34.154999999999994</v>
      </c>
    </row>
    <row r="140" spans="1:12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 t="str">
        <f>IF(_xlfn.XLOOKUP(orders!C140,customers!$A:$A,customers!$C:$C,,0)=0,"",_xlfn.XLOOKUP(orders!C140,customers!$A:$A,customers!$C:$C,,0))</f>
        <v/>
      </c>
      <c r="H140" s="2" t="str">
        <f>_xlfn.XLOOKUP(C140,customers!$A:$A,customers!$G:$G,,0)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>
        <f>INDEX(products!$A$1:$G$49,MATCH(orders!$D140,products!$A$1:$A$49,0),MATCH(orders!K$1,products!$A$1:$G$1,0))</f>
        <v>1</v>
      </c>
      <c r="L140">
        <f>INDEX(products!$A$1:$G$49,MATCH(orders!$D140,products!$A$1:$A$49,0),MATCH(orders!L$1,products!$A$1:$G$1,0))</f>
        <v>12.15</v>
      </c>
    </row>
    <row r="141" spans="1:12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 t="str">
        <f>IF(_xlfn.XLOOKUP(orders!C141,customers!$A:$A,customers!$C:$C,,0)=0,"",_xlfn.XLOOKUP(orders!C141,customers!$A:$A,customers!$C:$C,,0))</f>
        <v/>
      </c>
      <c r="H141" s="2" t="str">
        <f>_xlfn.XLOOKUP(C141,customers!$A:$A,customers!$G:$G,,0)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>
        <f>INDEX(products!$A$1:$G$49,MATCH(orders!$D141,products!$A$1:$A$49,0),MATCH(orders!K$1,products!$A$1:$G$1,0))</f>
        <v>1</v>
      </c>
      <c r="L141">
        <f>INDEX(products!$A$1:$G$49,MATCH(orders!$D141,products!$A$1:$A$49,0),MATCH(orders!L$1,products!$A$1:$G$1,0))</f>
        <v>12.95</v>
      </c>
    </row>
    <row r="142" spans="1:12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>
        <f>IF(_xlfn.XLOOKUP(orders!C142,customers!$A:$A,customers!$C:$C,,0)=0,"",_xlfn.XLOOKUP(orders!C142,customers!$A:$A,customers!$C:$C,,0))</f>
        <v>vkundt3w@bigcartel.com</v>
      </c>
      <c r="H142" s="2" t="str">
        <f>_xlfn.XLOOKUP(C142,customers!$A:$A,customers!$G:$G,,0)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>
        <f>INDEX(products!$A$1:$G$49,MATCH(orders!$D142,products!$A$1:$A$49,0),MATCH(orders!K$1,products!$A$1:$G$1,0))</f>
        <v>2.5</v>
      </c>
      <c r="L142">
        <f>INDEX(products!$A$1:$G$49,MATCH(orders!$D142,products!$A$1:$A$49,0),MATCH(orders!L$1,products!$A$1:$G$1,0))</f>
        <v>29.784999999999997</v>
      </c>
    </row>
    <row r="143" spans="1:12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>
        <f>IF(_xlfn.XLOOKUP(orders!C143,customers!$A:$A,customers!$C:$C,,0)=0,"",_xlfn.XLOOKUP(orders!C143,customers!$A:$A,customers!$C:$C,,0))</f>
        <v>bbett3x@google.de</v>
      </c>
      <c r="H143" s="2" t="str">
        <f>_xlfn.XLOOKUP(C143,customers!$A:$A,customers!$G:$G,,0)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>
        <f>INDEX(products!$A$1:$G$49,MATCH(orders!$D143,products!$A$1:$A$49,0),MATCH(orders!K$1,products!$A$1:$G$1,0))</f>
        <v>0.2</v>
      </c>
      <c r="L143">
        <f>INDEX(products!$A$1:$G$49,MATCH(orders!$D143,products!$A$1:$A$49,0),MATCH(orders!L$1,products!$A$1:$G$1,0))</f>
        <v>3.8849999999999998</v>
      </c>
    </row>
    <row r="144" spans="1:12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 t="str">
        <f>IF(_xlfn.XLOOKUP(orders!C144,customers!$A:$A,customers!$C:$C,,0)=0,"",_xlfn.XLOOKUP(orders!C144,customers!$A:$A,customers!$C:$C,,0))</f>
        <v/>
      </c>
      <c r="H144" s="2" t="str">
        <f>_xlfn.XLOOKUP(C144,customers!$A:$A,customers!$G:$G,,0)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>
        <f>INDEX(products!$A$1:$G$49,MATCH(orders!$D144,products!$A$1:$A$49,0),MATCH(orders!K$1,products!$A$1:$G$1,0))</f>
        <v>2.5</v>
      </c>
      <c r="L144">
        <f>INDEX(products!$A$1:$G$49,MATCH(orders!$D144,products!$A$1:$A$49,0),MATCH(orders!L$1,products!$A$1:$G$1,0))</f>
        <v>34.154999999999994</v>
      </c>
    </row>
    <row r="145" spans="1:12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>
        <f>IF(_xlfn.XLOOKUP(orders!C145,customers!$A:$A,customers!$C:$C,,0)=0,"",_xlfn.XLOOKUP(orders!C145,customers!$A:$A,customers!$C:$C,,0))</f>
        <v>dstaite3z@scientificamerican.com</v>
      </c>
      <c r="H145" s="2" t="str">
        <f>_xlfn.XLOOKUP(C145,customers!$A:$A,customers!$G:$G,,0)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>
        <f>INDEX(products!$A$1:$G$49,MATCH(orders!$D145,products!$A$1:$A$49,0),MATCH(orders!K$1,products!$A$1:$G$1,0))</f>
        <v>0.5</v>
      </c>
      <c r="L145">
        <f>INDEX(products!$A$1:$G$49,MATCH(orders!$D145,products!$A$1:$A$49,0),MATCH(orders!L$1,products!$A$1:$G$1,0))</f>
        <v>8.73</v>
      </c>
    </row>
    <row r="146" spans="1:12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>
        <f>IF(_xlfn.XLOOKUP(orders!C146,customers!$A:$A,customers!$C:$C,,0)=0,"",_xlfn.XLOOKUP(orders!C146,customers!$A:$A,customers!$C:$C,,0))</f>
        <v>wkeyse40@apple.com</v>
      </c>
      <c r="H146" s="2" t="str">
        <f>_xlfn.XLOOKUP(C146,customers!$A:$A,customers!$G:$G,,0)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>
        <f>INDEX(products!$A$1:$G$49,MATCH(orders!$D146,products!$A$1:$A$49,0),MATCH(orders!K$1,products!$A$1:$G$1,0))</f>
        <v>2.5</v>
      </c>
      <c r="L146">
        <f>INDEX(products!$A$1:$G$49,MATCH(orders!$D146,products!$A$1:$A$49,0),MATCH(orders!L$1,products!$A$1:$G$1,0))</f>
        <v>34.154999999999994</v>
      </c>
    </row>
    <row r="147" spans="1:12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>
        <f>IF(_xlfn.XLOOKUP(orders!C147,customers!$A:$A,customers!$C:$C,,0)=0,"",_xlfn.XLOOKUP(orders!C147,customers!$A:$A,customers!$C:$C,,0))</f>
        <v>oclausenthue41@marriott.com</v>
      </c>
      <c r="H147" s="2" t="str">
        <f>_xlfn.XLOOKUP(C147,customers!$A:$A,customers!$G:$G,,0)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>
        <f>INDEX(products!$A$1:$G$49,MATCH(orders!$D147,products!$A$1:$A$49,0),MATCH(orders!K$1,products!$A$1:$G$1,0))</f>
        <v>0.2</v>
      </c>
      <c r="L147">
        <f>INDEX(products!$A$1:$G$49,MATCH(orders!$D147,products!$A$1:$A$49,0),MATCH(orders!L$1,products!$A$1:$G$1,0))</f>
        <v>4.3650000000000002</v>
      </c>
    </row>
    <row r="148" spans="1:12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>
        <f>IF(_xlfn.XLOOKUP(orders!C148,customers!$A:$A,customers!$C:$C,,0)=0,"",_xlfn.XLOOKUP(orders!C148,customers!$A:$A,customers!$C:$C,,0))</f>
        <v>lfrancisco42@fema.gov</v>
      </c>
      <c r="H148" s="2" t="str">
        <f>_xlfn.XLOOKUP(C148,customers!$A:$A,customers!$G:$G,,0)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>
        <f>INDEX(products!$A$1:$G$49,MATCH(orders!$D148,products!$A$1:$A$49,0),MATCH(orders!K$1,products!$A$1:$G$1,0))</f>
        <v>1</v>
      </c>
      <c r="L148">
        <f>INDEX(products!$A$1:$G$49,MATCH(orders!$D148,products!$A$1:$A$49,0),MATCH(orders!L$1,products!$A$1:$G$1,0))</f>
        <v>14.55</v>
      </c>
    </row>
    <row r="149" spans="1:12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>
        <f>IF(_xlfn.XLOOKUP(orders!C149,customers!$A:$A,customers!$C:$C,,0)=0,"",_xlfn.XLOOKUP(orders!C149,customers!$A:$A,customers!$C:$C,,0))</f>
        <v>lfrancisco42@fema.gov</v>
      </c>
      <c r="H149" s="2" t="str">
        <f>_xlfn.XLOOKUP(C149,customers!$A:$A,customers!$G:$G,,0)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>
        <f>INDEX(products!$A$1:$G$49,MATCH(orders!$D149,products!$A$1:$A$49,0),MATCH(orders!K$1,products!$A$1:$G$1,0))</f>
        <v>1</v>
      </c>
      <c r="L149">
        <f>INDEX(products!$A$1:$G$49,MATCH(orders!$D149,products!$A$1:$A$49,0),MATCH(orders!L$1,products!$A$1:$G$1,0))</f>
        <v>13.75</v>
      </c>
    </row>
    <row r="150" spans="1:12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>
        <f>IF(_xlfn.XLOOKUP(orders!C150,customers!$A:$A,customers!$C:$C,,0)=0,"",_xlfn.XLOOKUP(orders!C150,customers!$A:$A,customers!$C:$C,,0))</f>
        <v>gskingle44@clickbank.net</v>
      </c>
      <c r="H150" s="2" t="str">
        <f>_xlfn.XLOOKUP(C150,customers!$A:$A,customers!$G:$G,,0)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>
        <f>INDEX(products!$A$1:$G$49,MATCH(orders!$D150,products!$A$1:$A$49,0),MATCH(orders!K$1,products!$A$1:$G$1,0))</f>
        <v>0.2</v>
      </c>
      <c r="L150">
        <f>INDEX(products!$A$1:$G$49,MATCH(orders!$D150,products!$A$1:$A$49,0),MATCH(orders!L$1,products!$A$1:$G$1,0))</f>
        <v>3.645</v>
      </c>
    </row>
    <row r="151" spans="1:12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 t="str">
        <f>IF(_xlfn.XLOOKUP(orders!C151,customers!$A:$A,customers!$C:$C,,0)=0,"",_xlfn.XLOOKUP(orders!C151,customers!$A:$A,customers!$C:$C,,0))</f>
        <v/>
      </c>
      <c r="H151" s="2" t="str">
        <f>_xlfn.XLOOKUP(C151,customers!$A:$A,customers!$G:$G,,0)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>
        <f>INDEX(products!$A$1:$G$49,MATCH(orders!$D151,products!$A$1:$A$49,0),MATCH(orders!K$1,products!$A$1:$G$1,0))</f>
        <v>2.5</v>
      </c>
      <c r="L151">
        <f>INDEX(products!$A$1:$G$49,MATCH(orders!$D151,products!$A$1:$A$49,0),MATCH(orders!L$1,products!$A$1:$G$1,0))</f>
        <v>25.874999999999996</v>
      </c>
    </row>
    <row r="152" spans="1:12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>
        <f>IF(_xlfn.XLOOKUP(orders!C152,customers!$A:$A,customers!$C:$C,,0)=0,"",_xlfn.XLOOKUP(orders!C152,customers!$A:$A,customers!$C:$C,,0))</f>
        <v>jbalsillie46@princeton.edu</v>
      </c>
      <c r="H152" s="2" t="str">
        <f>_xlfn.XLOOKUP(C152,customers!$A:$A,customers!$G:$G,,0)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>
        <f>INDEX(products!$A$1:$G$49,MATCH(orders!$D152,products!$A$1:$A$49,0),MATCH(orders!K$1,products!$A$1:$G$1,0))</f>
        <v>1</v>
      </c>
      <c r="L152">
        <f>INDEX(products!$A$1:$G$49,MATCH(orders!$D152,products!$A$1:$A$49,0),MATCH(orders!L$1,products!$A$1:$G$1,0))</f>
        <v>12.95</v>
      </c>
    </row>
    <row r="153" spans="1:12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 t="str">
        <f>IF(_xlfn.XLOOKUP(orders!C153,customers!$A:$A,customers!$C:$C,,0)=0,"",_xlfn.XLOOKUP(orders!C153,customers!$A:$A,customers!$C:$C,,0))</f>
        <v/>
      </c>
      <c r="H153" s="2" t="str">
        <f>_xlfn.XLOOKUP(C153,customers!$A:$A,customers!$G:$G,,0)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>
        <f>INDEX(products!$A$1:$G$49,MATCH(orders!$D153,products!$A$1:$A$49,0),MATCH(orders!K$1,products!$A$1:$G$1,0))</f>
        <v>1</v>
      </c>
      <c r="L153">
        <f>INDEX(products!$A$1:$G$49,MATCH(orders!$D153,products!$A$1:$A$49,0),MATCH(orders!L$1,products!$A$1:$G$1,0))</f>
        <v>11.25</v>
      </c>
    </row>
    <row r="154" spans="1:12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>
        <f>IF(_xlfn.XLOOKUP(orders!C154,customers!$A:$A,customers!$C:$C,,0)=0,"",_xlfn.XLOOKUP(orders!C154,customers!$A:$A,customers!$C:$C,,0))</f>
        <v>bleffek48@ning.com</v>
      </c>
      <c r="H154" s="2" t="str">
        <f>_xlfn.XLOOKUP(C154,customers!$A:$A,customers!$G:$G,,0)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>
        <f>INDEX(products!$A$1:$G$49,MATCH(orders!$D154,products!$A$1:$A$49,0),MATCH(orders!K$1,products!$A$1:$G$1,0))</f>
        <v>2.5</v>
      </c>
      <c r="L154">
        <f>INDEX(products!$A$1:$G$49,MATCH(orders!$D154,products!$A$1:$A$49,0),MATCH(orders!L$1,products!$A$1:$G$1,0))</f>
        <v>22.884999999999998</v>
      </c>
    </row>
    <row r="155" spans="1:12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 t="str">
        <f>IF(_xlfn.XLOOKUP(orders!C155,customers!$A:$A,customers!$C:$C,,0)=0,"",_xlfn.XLOOKUP(orders!C155,customers!$A:$A,customers!$C:$C,,0))</f>
        <v/>
      </c>
      <c r="H155" s="2" t="str">
        <f>_xlfn.XLOOKUP(C155,customers!$A:$A,customers!$G:$G,,0)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>
        <f>INDEX(products!$A$1:$G$49,MATCH(orders!$D155,products!$A$1:$A$49,0),MATCH(orders!K$1,products!$A$1:$G$1,0))</f>
        <v>0.2</v>
      </c>
      <c r="L155">
        <f>INDEX(products!$A$1:$G$49,MATCH(orders!$D155,products!$A$1:$A$49,0),MATCH(orders!L$1,products!$A$1:$G$1,0))</f>
        <v>2.6849999999999996</v>
      </c>
    </row>
    <row r="156" spans="1:12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>
        <f>IF(_xlfn.XLOOKUP(orders!C156,customers!$A:$A,customers!$C:$C,,0)=0,"",_xlfn.XLOOKUP(orders!C156,customers!$A:$A,customers!$C:$C,,0))</f>
        <v>jpray4a@youtube.com</v>
      </c>
      <c r="H156" s="2" t="str">
        <f>_xlfn.XLOOKUP(C156,customers!$A:$A,customers!$G:$G,,0)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>
        <f>INDEX(products!$A$1:$G$49,MATCH(orders!$D156,products!$A$1:$A$49,0),MATCH(orders!K$1,products!$A$1:$G$1,0))</f>
        <v>2.5</v>
      </c>
      <c r="L156">
        <f>INDEX(products!$A$1:$G$49,MATCH(orders!$D156,products!$A$1:$A$49,0),MATCH(orders!L$1,products!$A$1:$G$1,0))</f>
        <v>22.884999999999998</v>
      </c>
    </row>
    <row r="157" spans="1:12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>
        <f>IF(_xlfn.XLOOKUP(orders!C157,customers!$A:$A,customers!$C:$C,,0)=0,"",_xlfn.XLOOKUP(orders!C157,customers!$A:$A,customers!$C:$C,,0))</f>
        <v>gholborn4b@ow.ly</v>
      </c>
      <c r="H157" s="2" t="str">
        <f>_xlfn.XLOOKUP(C157,customers!$A:$A,customers!$G:$G,,0)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>
        <f>INDEX(products!$A$1:$G$49,MATCH(orders!$D157,products!$A$1:$A$49,0),MATCH(orders!K$1,products!$A$1:$G$1,0))</f>
        <v>2.5</v>
      </c>
      <c r="L157">
        <f>INDEX(products!$A$1:$G$49,MATCH(orders!$D157,products!$A$1:$A$49,0),MATCH(orders!L$1,products!$A$1:$G$1,0))</f>
        <v>25.874999999999996</v>
      </c>
    </row>
    <row r="158" spans="1:12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>
        <f>IF(_xlfn.XLOOKUP(orders!C158,customers!$A:$A,customers!$C:$C,,0)=0,"",_xlfn.XLOOKUP(orders!C158,customers!$A:$A,customers!$C:$C,,0))</f>
        <v>fkeinrat4c@dailymail.co.uk</v>
      </c>
      <c r="H158" s="2" t="str">
        <f>_xlfn.XLOOKUP(C158,customers!$A:$A,customers!$G:$G,,0)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>
        <f>INDEX(products!$A$1:$G$49,MATCH(orders!$D158,products!$A$1:$A$49,0),MATCH(orders!K$1,products!$A$1:$G$1,0))</f>
        <v>2.5</v>
      </c>
      <c r="L158">
        <f>INDEX(products!$A$1:$G$49,MATCH(orders!$D158,products!$A$1:$A$49,0),MATCH(orders!L$1,products!$A$1:$G$1,0))</f>
        <v>25.874999999999996</v>
      </c>
    </row>
    <row r="159" spans="1:12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>
        <f>IF(_xlfn.XLOOKUP(orders!C159,customers!$A:$A,customers!$C:$C,,0)=0,"",_xlfn.XLOOKUP(orders!C159,customers!$A:$A,customers!$C:$C,,0))</f>
        <v>pyea4d@aol.com</v>
      </c>
      <c r="H159" s="2" t="str">
        <f>_xlfn.XLOOKUP(C159,customers!$A:$A,customers!$G:$G,,0)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>
        <f>INDEX(products!$A$1:$G$49,MATCH(orders!$D159,products!$A$1:$A$49,0),MATCH(orders!K$1,products!$A$1:$G$1,0))</f>
        <v>2.5</v>
      </c>
      <c r="L159">
        <f>INDEX(products!$A$1:$G$49,MATCH(orders!$D159,products!$A$1:$A$49,0),MATCH(orders!L$1,products!$A$1:$G$1,0))</f>
        <v>20.584999999999997</v>
      </c>
    </row>
    <row r="160" spans="1:12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 t="str">
        <f>IF(_xlfn.XLOOKUP(orders!C160,customers!$A:$A,customers!$C:$C,,0)=0,"",_xlfn.XLOOKUP(orders!C160,customers!$A:$A,customers!$C:$C,,0))</f>
        <v/>
      </c>
      <c r="H160" s="2" t="str">
        <f>_xlfn.XLOOKUP(C160,customers!$A:$A,customers!$G:$G,,0)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>
        <f>INDEX(products!$A$1:$G$49,MATCH(orders!$D160,products!$A$1:$A$49,0),MATCH(orders!K$1,products!$A$1:$G$1,0))</f>
        <v>2.5</v>
      </c>
      <c r="L160">
        <f>INDEX(products!$A$1:$G$49,MATCH(orders!$D160,products!$A$1:$A$49,0),MATCH(orders!L$1,products!$A$1:$G$1,0))</f>
        <v>20.584999999999997</v>
      </c>
    </row>
    <row r="161" spans="1:12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 t="str">
        <f>IF(_xlfn.XLOOKUP(orders!C161,customers!$A:$A,customers!$C:$C,,0)=0,"",_xlfn.XLOOKUP(orders!C161,customers!$A:$A,customers!$C:$C,,0))</f>
        <v/>
      </c>
      <c r="H161" s="2" t="str">
        <f>_xlfn.XLOOKUP(C161,customers!$A:$A,customers!$G:$G,,0)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>
        <f>INDEX(products!$A$1:$G$49,MATCH(orders!$D161,products!$A$1:$A$49,0),MATCH(orders!K$1,products!$A$1:$G$1,0))</f>
        <v>2.5</v>
      </c>
      <c r="L161">
        <f>INDEX(products!$A$1:$G$49,MATCH(orders!$D161,products!$A$1:$A$49,0),MATCH(orders!L$1,products!$A$1:$G$1,0))</f>
        <v>36.454999999999998</v>
      </c>
    </row>
    <row r="162" spans="1:12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>
        <f>IF(_xlfn.XLOOKUP(orders!C162,customers!$A:$A,customers!$C:$C,,0)=0,"",_xlfn.XLOOKUP(orders!C162,customers!$A:$A,customers!$C:$C,,0))</f>
        <v>kswede4g@addthis.com</v>
      </c>
      <c r="H162" s="2" t="str">
        <f>_xlfn.XLOOKUP(C162,customers!$A:$A,customers!$G:$G,,0)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>
        <f>INDEX(products!$A$1:$G$49,MATCH(orders!$D162,products!$A$1:$A$49,0),MATCH(orders!K$1,products!$A$1:$G$1,0))</f>
        <v>0.5</v>
      </c>
      <c r="L162">
        <f>INDEX(products!$A$1:$G$49,MATCH(orders!$D162,products!$A$1:$A$49,0),MATCH(orders!L$1,products!$A$1:$G$1,0))</f>
        <v>8.25</v>
      </c>
    </row>
    <row r="163" spans="1:12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>
        <f>IF(_xlfn.XLOOKUP(orders!C163,customers!$A:$A,customers!$C:$C,,0)=0,"",_xlfn.XLOOKUP(orders!C163,customers!$A:$A,customers!$C:$C,,0))</f>
        <v>lrubrow4h@microsoft.com</v>
      </c>
      <c r="H163" s="2" t="str">
        <f>_xlfn.XLOOKUP(C163,customers!$A:$A,customers!$G:$G,,0)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>
        <f>INDEX(products!$A$1:$G$49,MATCH(orders!$D163,products!$A$1:$A$49,0),MATCH(orders!K$1,products!$A$1:$G$1,0))</f>
        <v>0.5</v>
      </c>
      <c r="L163">
        <f>INDEX(products!$A$1:$G$49,MATCH(orders!$D163,products!$A$1:$A$49,0),MATCH(orders!L$1,products!$A$1:$G$1,0))</f>
        <v>7.77</v>
      </c>
    </row>
    <row r="164" spans="1:12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>
        <f>IF(_xlfn.XLOOKUP(orders!C164,customers!$A:$A,customers!$C:$C,,0)=0,"",_xlfn.XLOOKUP(orders!C164,customers!$A:$A,customers!$C:$C,,0))</f>
        <v>dtift4i@netvibes.com</v>
      </c>
      <c r="H164" s="2" t="str">
        <f>_xlfn.XLOOKUP(C164,customers!$A:$A,customers!$G:$G,,0)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>
        <f>INDEX(products!$A$1:$G$49,MATCH(orders!$D164,products!$A$1:$A$49,0),MATCH(orders!K$1,products!$A$1:$G$1,0))</f>
        <v>0.5</v>
      </c>
      <c r="L164">
        <f>INDEX(products!$A$1:$G$49,MATCH(orders!$D164,products!$A$1:$A$49,0),MATCH(orders!L$1,products!$A$1:$G$1,0))</f>
        <v>7.29</v>
      </c>
    </row>
    <row r="165" spans="1:12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>
        <f>IF(_xlfn.XLOOKUP(orders!C165,customers!$A:$A,customers!$C:$C,,0)=0,"",_xlfn.XLOOKUP(orders!C165,customers!$A:$A,customers!$C:$C,,0))</f>
        <v>gschonfeld4j@oracle.com</v>
      </c>
      <c r="H165" s="2" t="str">
        <f>_xlfn.XLOOKUP(C165,customers!$A:$A,customers!$G:$G,,0)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>
        <f>INDEX(products!$A$1:$G$49,MATCH(orders!$D165,products!$A$1:$A$49,0),MATCH(orders!K$1,products!$A$1:$G$1,0))</f>
        <v>0.2</v>
      </c>
      <c r="L165">
        <f>INDEX(products!$A$1:$G$49,MATCH(orders!$D165,products!$A$1:$A$49,0),MATCH(orders!L$1,products!$A$1:$G$1,0))</f>
        <v>2.6849999999999996</v>
      </c>
    </row>
    <row r="166" spans="1:12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>
        <f>IF(_xlfn.XLOOKUP(orders!C166,customers!$A:$A,customers!$C:$C,,0)=0,"",_xlfn.XLOOKUP(orders!C166,customers!$A:$A,customers!$C:$C,,0))</f>
        <v>cfeye4k@google.co.jp</v>
      </c>
      <c r="H166" s="2" t="str">
        <f>_xlfn.XLOOKUP(C166,customers!$A:$A,customers!$G:$G,,0)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>
        <f>INDEX(products!$A$1:$G$49,MATCH(orders!$D166,products!$A$1:$A$49,0),MATCH(orders!K$1,products!$A$1:$G$1,0))</f>
        <v>0.5</v>
      </c>
      <c r="L166">
        <f>INDEX(products!$A$1:$G$49,MATCH(orders!$D166,products!$A$1:$A$49,0),MATCH(orders!L$1,products!$A$1:$G$1,0))</f>
        <v>7.29</v>
      </c>
    </row>
    <row r="167" spans="1:12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 t="str">
        <f>IF(_xlfn.XLOOKUP(orders!C167,customers!$A:$A,customers!$C:$C,,0)=0,"",_xlfn.XLOOKUP(orders!C167,customers!$A:$A,customers!$C:$C,,0))</f>
        <v/>
      </c>
      <c r="H167" s="2" t="str">
        <f>_xlfn.XLOOKUP(C167,customers!$A:$A,customers!$G:$G,,0)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>
        <f>INDEX(products!$A$1:$G$49,MATCH(orders!$D167,products!$A$1:$A$49,0),MATCH(orders!K$1,products!$A$1:$G$1,0))</f>
        <v>1</v>
      </c>
      <c r="L167">
        <f>INDEX(products!$A$1:$G$49,MATCH(orders!$D167,products!$A$1:$A$49,0),MATCH(orders!L$1,products!$A$1:$G$1,0))</f>
        <v>8.9499999999999993</v>
      </c>
    </row>
    <row r="168" spans="1:12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 t="str">
        <f>IF(_xlfn.XLOOKUP(orders!C168,customers!$A:$A,customers!$C:$C,,0)=0,"",_xlfn.XLOOKUP(orders!C168,customers!$A:$A,customers!$C:$C,,0))</f>
        <v/>
      </c>
      <c r="H168" s="2" t="str">
        <f>_xlfn.XLOOKUP(C168,customers!$A:$A,customers!$G:$G,,0)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>
        <f>INDEX(products!$A$1:$G$49,MATCH(orders!$D168,products!$A$1:$A$49,0),MATCH(orders!K$1,products!$A$1:$G$1,0))</f>
        <v>0.5</v>
      </c>
      <c r="L168">
        <f>INDEX(products!$A$1:$G$49,MATCH(orders!$D168,products!$A$1:$A$49,0),MATCH(orders!L$1,products!$A$1:$G$1,0))</f>
        <v>5.3699999999999992</v>
      </c>
    </row>
    <row r="169" spans="1:12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>
        <f>IF(_xlfn.XLOOKUP(orders!C169,customers!$A:$A,customers!$C:$C,,0)=0,"",_xlfn.XLOOKUP(orders!C169,customers!$A:$A,customers!$C:$C,,0))</f>
        <v>tfero4n@comsenz.com</v>
      </c>
      <c r="H169" s="2" t="str">
        <f>_xlfn.XLOOKUP(C169,customers!$A:$A,customers!$G:$G,,0)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>
        <f>INDEX(products!$A$1:$G$49,MATCH(orders!$D169,products!$A$1:$A$49,0),MATCH(orders!K$1,products!$A$1:$G$1,0))</f>
        <v>0.5</v>
      </c>
      <c r="L169">
        <f>INDEX(products!$A$1:$G$49,MATCH(orders!$D169,products!$A$1:$A$49,0),MATCH(orders!L$1,products!$A$1:$G$1,0))</f>
        <v>8.25</v>
      </c>
    </row>
    <row r="170" spans="1:12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 t="str">
        <f>IF(_xlfn.XLOOKUP(orders!C170,customers!$A:$A,customers!$C:$C,,0)=0,"",_xlfn.XLOOKUP(orders!C170,customers!$A:$A,customers!$C:$C,,0))</f>
        <v/>
      </c>
      <c r="H170" s="2" t="str">
        <f>_xlfn.XLOOKUP(C170,customers!$A:$A,customers!$G:$G,,0)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>
        <f>INDEX(products!$A$1:$G$49,MATCH(orders!$D170,products!$A$1:$A$49,0),MATCH(orders!K$1,products!$A$1:$G$1,0))</f>
        <v>0.5</v>
      </c>
      <c r="L170">
        <f>INDEX(products!$A$1:$G$49,MATCH(orders!$D170,products!$A$1:$A$49,0),MATCH(orders!L$1,products!$A$1:$G$1,0))</f>
        <v>6.75</v>
      </c>
    </row>
    <row r="171" spans="1:12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>
        <f>IF(_xlfn.XLOOKUP(orders!C171,customers!$A:$A,customers!$C:$C,,0)=0,"",_xlfn.XLOOKUP(orders!C171,customers!$A:$A,customers!$C:$C,,0))</f>
        <v>fdauney4p@sphinn.com</v>
      </c>
      <c r="H171" s="2" t="str">
        <f>_xlfn.XLOOKUP(C171,customers!$A:$A,customers!$G:$G,,0)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>
        <f>INDEX(products!$A$1:$G$49,MATCH(orders!$D171,products!$A$1:$A$49,0),MATCH(orders!K$1,products!$A$1:$G$1,0))</f>
        <v>1</v>
      </c>
      <c r="L171">
        <f>INDEX(products!$A$1:$G$49,MATCH(orders!$D171,products!$A$1:$A$49,0),MATCH(orders!L$1,products!$A$1:$G$1,0))</f>
        <v>8.9499999999999993</v>
      </c>
    </row>
    <row r="172" spans="1:12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>
        <f>IF(_xlfn.XLOOKUP(orders!C172,customers!$A:$A,customers!$C:$C,,0)=0,"",_xlfn.XLOOKUP(orders!C172,customers!$A:$A,customers!$C:$C,,0))</f>
        <v>searley4q@youku.com</v>
      </c>
      <c r="H172" s="2" t="str">
        <f>_xlfn.XLOOKUP(C172,customers!$A:$A,customers!$G:$G,,0)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>
        <f>INDEX(products!$A$1:$G$49,MATCH(orders!$D172,products!$A$1:$A$49,0),MATCH(orders!K$1,products!$A$1:$G$1,0))</f>
        <v>2.5</v>
      </c>
      <c r="L172">
        <f>INDEX(products!$A$1:$G$49,MATCH(orders!$D172,products!$A$1:$A$49,0),MATCH(orders!L$1,products!$A$1:$G$1,0))</f>
        <v>34.154999999999994</v>
      </c>
    </row>
    <row r="173" spans="1:12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>
        <f>IF(_xlfn.XLOOKUP(orders!C173,customers!$A:$A,customers!$C:$C,,0)=0,"",_xlfn.XLOOKUP(orders!C173,customers!$A:$A,customers!$C:$C,,0))</f>
        <v>mchamberlayne4r@bigcartel.com</v>
      </c>
      <c r="H173" s="2" t="str">
        <f>_xlfn.XLOOKUP(C173,customers!$A:$A,customers!$G:$G,,0)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>
        <f>INDEX(products!$A$1:$G$49,MATCH(orders!$D173,products!$A$1:$A$49,0),MATCH(orders!K$1,products!$A$1:$G$1,0))</f>
        <v>2.5</v>
      </c>
      <c r="L173">
        <f>INDEX(products!$A$1:$G$49,MATCH(orders!$D173,products!$A$1:$A$49,0),MATCH(orders!L$1,products!$A$1:$G$1,0))</f>
        <v>31.624999999999996</v>
      </c>
    </row>
    <row r="174" spans="1:12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>
        <f>IF(_xlfn.XLOOKUP(orders!C174,customers!$A:$A,customers!$C:$C,,0)=0,"",_xlfn.XLOOKUP(orders!C174,customers!$A:$A,customers!$C:$C,,0))</f>
        <v>bflaherty4s@moonfruit.com</v>
      </c>
      <c r="H174" s="2" t="str">
        <f>_xlfn.XLOOKUP(C174,customers!$A:$A,customers!$G:$G,,0)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>
        <f>INDEX(products!$A$1:$G$49,MATCH(orders!$D174,products!$A$1:$A$49,0),MATCH(orders!K$1,products!$A$1:$G$1,0))</f>
        <v>0.5</v>
      </c>
      <c r="L174">
        <f>INDEX(products!$A$1:$G$49,MATCH(orders!$D174,products!$A$1:$A$49,0),MATCH(orders!L$1,products!$A$1:$G$1,0))</f>
        <v>7.29</v>
      </c>
    </row>
    <row r="175" spans="1:12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>
        <f>IF(_xlfn.XLOOKUP(orders!C175,customers!$A:$A,customers!$C:$C,,0)=0,"",_xlfn.XLOOKUP(orders!C175,customers!$A:$A,customers!$C:$C,,0))</f>
        <v>ocolbeck4t@sina.com.cn</v>
      </c>
      <c r="H175" s="2" t="str">
        <f>_xlfn.XLOOKUP(C175,customers!$A:$A,customers!$G:$G,,0)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>
        <f>INDEX(products!$A$1:$G$49,MATCH(orders!$D175,products!$A$1:$A$49,0),MATCH(orders!K$1,products!$A$1:$G$1,0))</f>
        <v>2.5</v>
      </c>
      <c r="L175">
        <f>INDEX(products!$A$1:$G$49,MATCH(orders!$D175,products!$A$1:$A$49,0),MATCH(orders!L$1,products!$A$1:$G$1,0))</f>
        <v>22.884999999999998</v>
      </c>
    </row>
    <row r="176" spans="1:12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 t="str">
        <f>IF(_xlfn.XLOOKUP(orders!C176,customers!$A:$A,customers!$C:$C,,0)=0,"",_xlfn.XLOOKUP(orders!C176,customers!$A:$A,customers!$C:$C,,0))</f>
        <v/>
      </c>
      <c r="H176" s="2" t="str">
        <f>_xlfn.XLOOKUP(C176,customers!$A:$A,customers!$G:$G,,0)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>
        <f>INDEX(products!$A$1:$G$49,MATCH(orders!$D176,products!$A$1:$A$49,0),MATCH(orders!K$1,products!$A$1:$G$1,0))</f>
        <v>2.5</v>
      </c>
      <c r="L176">
        <f>INDEX(products!$A$1:$G$49,MATCH(orders!$D176,products!$A$1:$A$49,0),MATCH(orders!L$1,products!$A$1:$G$1,0))</f>
        <v>34.154999999999994</v>
      </c>
    </row>
    <row r="177" spans="1:12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>
        <f>IF(_xlfn.XLOOKUP(orders!C177,customers!$A:$A,customers!$C:$C,,0)=0,"",_xlfn.XLOOKUP(orders!C177,customers!$A:$A,customers!$C:$C,,0))</f>
        <v>ehobbing4v@nsw.gov.au</v>
      </c>
      <c r="H177" s="2" t="str">
        <f>_xlfn.XLOOKUP(C177,customers!$A:$A,customers!$G:$G,,0)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>
        <f>INDEX(products!$A$1:$G$49,MATCH(orders!$D177,products!$A$1:$A$49,0),MATCH(orders!K$1,products!$A$1:$G$1,0))</f>
        <v>2.5</v>
      </c>
      <c r="L177">
        <f>INDEX(products!$A$1:$G$49,MATCH(orders!$D177,products!$A$1:$A$49,0),MATCH(orders!L$1,products!$A$1:$G$1,0))</f>
        <v>31.624999999999996</v>
      </c>
    </row>
    <row r="178" spans="1:12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>
        <f>IF(_xlfn.XLOOKUP(orders!C178,customers!$A:$A,customers!$C:$C,,0)=0,"",_xlfn.XLOOKUP(orders!C178,customers!$A:$A,customers!$C:$C,,0))</f>
        <v>othynne4w@auda.org.au</v>
      </c>
      <c r="H178" s="2" t="str">
        <f>_xlfn.XLOOKUP(C178,customers!$A:$A,customers!$G:$G,,0)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>
        <f>INDEX(products!$A$1:$G$49,MATCH(orders!$D178,products!$A$1:$A$49,0),MATCH(orders!K$1,products!$A$1:$G$1,0))</f>
        <v>2.5</v>
      </c>
      <c r="L178">
        <f>INDEX(products!$A$1:$G$49,MATCH(orders!$D178,products!$A$1:$A$49,0),MATCH(orders!L$1,products!$A$1:$G$1,0))</f>
        <v>34.154999999999994</v>
      </c>
    </row>
    <row r="179" spans="1:12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>
        <f>IF(_xlfn.XLOOKUP(orders!C179,customers!$A:$A,customers!$C:$C,,0)=0,"",_xlfn.XLOOKUP(orders!C179,customers!$A:$A,customers!$C:$C,,0))</f>
        <v>eheining4x@flickr.com</v>
      </c>
      <c r="H179" s="2" t="str">
        <f>_xlfn.XLOOKUP(C179,customers!$A:$A,customers!$G:$G,,0)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>
        <f>INDEX(products!$A$1:$G$49,MATCH(orders!$D179,products!$A$1:$A$49,0),MATCH(orders!K$1,products!$A$1:$G$1,0))</f>
        <v>2.5</v>
      </c>
      <c r="L179">
        <f>INDEX(products!$A$1:$G$49,MATCH(orders!$D179,products!$A$1:$A$49,0),MATCH(orders!L$1,products!$A$1:$G$1,0))</f>
        <v>27.484999999999996</v>
      </c>
    </row>
    <row r="180" spans="1:12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>
        <f>IF(_xlfn.XLOOKUP(orders!C180,customers!$A:$A,customers!$C:$C,,0)=0,"",_xlfn.XLOOKUP(orders!C180,customers!$A:$A,customers!$C:$C,,0))</f>
        <v>kmelloi4y@imdb.com</v>
      </c>
      <c r="H180" s="2" t="str">
        <f>_xlfn.XLOOKUP(C180,customers!$A:$A,customers!$G:$G,,0)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>
        <f>INDEX(products!$A$1:$G$49,MATCH(orders!$D180,products!$A$1:$A$49,0),MATCH(orders!K$1,products!$A$1:$G$1,0))</f>
        <v>1</v>
      </c>
      <c r="L180">
        <f>INDEX(products!$A$1:$G$49,MATCH(orders!$D180,products!$A$1:$A$49,0),MATCH(orders!L$1,products!$A$1:$G$1,0))</f>
        <v>12.95</v>
      </c>
    </row>
    <row r="181" spans="1:12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 t="str">
        <f>IF(_xlfn.XLOOKUP(orders!C181,customers!$A:$A,customers!$C:$C,,0)=0,"",_xlfn.XLOOKUP(orders!C181,customers!$A:$A,customers!$C:$C,,0))</f>
        <v/>
      </c>
      <c r="H181" s="2" t="str">
        <f>_xlfn.XLOOKUP(C181,customers!$A:$A,customers!$G:$G,,0)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>
        <f>INDEX(products!$A$1:$G$49,MATCH(orders!$D181,products!$A$1:$A$49,0),MATCH(orders!K$1,products!$A$1:$G$1,0))</f>
        <v>0.2</v>
      </c>
      <c r="L181">
        <f>INDEX(products!$A$1:$G$49,MATCH(orders!$D181,products!$A$1:$A$49,0),MATCH(orders!L$1,products!$A$1:$G$1,0))</f>
        <v>2.9849999999999999</v>
      </c>
    </row>
    <row r="182" spans="1:12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>
        <f>IF(_xlfn.XLOOKUP(orders!C182,customers!$A:$A,customers!$C:$C,,0)=0,"",_xlfn.XLOOKUP(orders!C182,customers!$A:$A,customers!$C:$C,,0))</f>
        <v>amussen50@51.la</v>
      </c>
      <c r="H182" s="2" t="str">
        <f>_xlfn.XLOOKUP(C182,customers!$A:$A,customers!$G:$G,,0)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>
        <f>INDEX(products!$A$1:$G$49,MATCH(orders!$D182,products!$A$1:$A$49,0),MATCH(orders!K$1,products!$A$1:$G$1,0))</f>
        <v>0.2</v>
      </c>
      <c r="L182">
        <f>INDEX(products!$A$1:$G$49,MATCH(orders!$D182,products!$A$1:$A$49,0),MATCH(orders!L$1,products!$A$1:$G$1,0))</f>
        <v>4.4550000000000001</v>
      </c>
    </row>
    <row r="183" spans="1:12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>
        <f>IF(_xlfn.XLOOKUP(orders!C183,customers!$A:$A,customers!$C:$C,,0)=0,"",_xlfn.XLOOKUP(orders!C183,customers!$A:$A,customers!$C:$C,,0))</f>
        <v>amussen50@51.la</v>
      </c>
      <c r="H183" s="2" t="str">
        <f>_xlfn.XLOOKUP(C183,customers!$A:$A,customers!$G:$G,,0)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>
        <f>INDEX(products!$A$1:$G$49,MATCH(orders!$D183,products!$A$1:$A$49,0),MATCH(orders!K$1,products!$A$1:$G$1,0))</f>
        <v>0.5</v>
      </c>
      <c r="L183">
        <f>INDEX(products!$A$1:$G$49,MATCH(orders!$D183,products!$A$1:$A$49,0),MATCH(orders!L$1,products!$A$1:$G$1,0))</f>
        <v>5.97</v>
      </c>
    </row>
    <row r="184" spans="1:12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>
        <f>IF(_xlfn.XLOOKUP(orders!C184,customers!$A:$A,customers!$C:$C,,0)=0,"",_xlfn.XLOOKUP(orders!C184,customers!$A:$A,customers!$C:$C,,0))</f>
        <v>amundford52@nbcnews.com</v>
      </c>
      <c r="H184" s="2" t="str">
        <f>_xlfn.XLOOKUP(C184,customers!$A:$A,customers!$G:$G,,0)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>
        <f>INDEX(products!$A$1:$G$49,MATCH(orders!$D184,products!$A$1:$A$49,0),MATCH(orders!K$1,products!$A$1:$G$1,0))</f>
        <v>0.5</v>
      </c>
      <c r="L184">
        <f>INDEX(products!$A$1:$G$49,MATCH(orders!$D184,products!$A$1:$A$49,0),MATCH(orders!L$1,products!$A$1:$G$1,0))</f>
        <v>5.3699999999999992</v>
      </c>
    </row>
    <row r="185" spans="1:12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>
        <f>IF(_xlfn.XLOOKUP(orders!C185,customers!$A:$A,customers!$C:$C,,0)=0,"",_xlfn.XLOOKUP(orders!C185,customers!$A:$A,customers!$C:$C,,0))</f>
        <v>twalas53@google.ca</v>
      </c>
      <c r="H185" s="2" t="str">
        <f>_xlfn.XLOOKUP(C185,customers!$A:$A,customers!$G:$G,,0)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>
        <f>INDEX(products!$A$1:$G$49,MATCH(orders!$D185,products!$A$1:$A$49,0),MATCH(orders!K$1,products!$A$1:$G$1,0))</f>
        <v>0.2</v>
      </c>
      <c r="L185">
        <f>INDEX(products!$A$1:$G$49,MATCH(orders!$D185,products!$A$1:$A$49,0),MATCH(orders!L$1,products!$A$1:$G$1,0))</f>
        <v>4.125</v>
      </c>
    </row>
    <row r="186" spans="1:12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>
        <f>IF(_xlfn.XLOOKUP(orders!C186,customers!$A:$A,customers!$C:$C,,0)=0,"",_xlfn.XLOOKUP(orders!C186,customers!$A:$A,customers!$C:$C,,0))</f>
        <v>iblazewicz54@thetimes.co.uk</v>
      </c>
      <c r="H186" s="2" t="str">
        <f>_xlfn.XLOOKUP(C186,customers!$A:$A,customers!$G:$G,,0)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>
        <f>INDEX(products!$A$1:$G$49,MATCH(orders!$D186,products!$A$1:$A$49,0),MATCH(orders!K$1,products!$A$1:$G$1,0))</f>
        <v>0.5</v>
      </c>
      <c r="L186">
        <f>INDEX(products!$A$1:$G$49,MATCH(orders!$D186,products!$A$1:$A$49,0),MATCH(orders!L$1,products!$A$1:$G$1,0))</f>
        <v>7.77</v>
      </c>
    </row>
    <row r="187" spans="1:12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>
        <f>IF(_xlfn.XLOOKUP(orders!C187,customers!$A:$A,customers!$C:$C,,0)=0,"",_xlfn.XLOOKUP(orders!C187,customers!$A:$A,customers!$C:$C,,0))</f>
        <v>arizzetti55@naver.com</v>
      </c>
      <c r="H187" s="2" t="str">
        <f>_xlfn.XLOOKUP(C187,customers!$A:$A,customers!$G:$G,,0)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>
        <f>INDEX(products!$A$1:$G$49,MATCH(orders!$D187,products!$A$1:$A$49,0),MATCH(orders!K$1,products!$A$1:$G$1,0))</f>
        <v>0.5</v>
      </c>
      <c r="L187">
        <f>INDEX(products!$A$1:$G$49,MATCH(orders!$D187,products!$A$1:$A$49,0),MATCH(orders!L$1,products!$A$1:$G$1,0))</f>
        <v>7.29</v>
      </c>
    </row>
    <row r="188" spans="1:12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>
        <f>IF(_xlfn.XLOOKUP(orders!C188,customers!$A:$A,customers!$C:$C,,0)=0,"",_xlfn.XLOOKUP(orders!C188,customers!$A:$A,customers!$C:$C,,0))</f>
        <v>mmeriet56@noaa.gov</v>
      </c>
      <c r="H188" s="2" t="str">
        <f>_xlfn.XLOOKUP(C188,customers!$A:$A,customers!$G:$G,,0)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>
        <f>INDEX(products!$A$1:$G$49,MATCH(orders!$D188,products!$A$1:$A$49,0),MATCH(orders!K$1,products!$A$1:$G$1,0))</f>
        <v>2.5</v>
      </c>
      <c r="L188">
        <f>INDEX(products!$A$1:$G$49,MATCH(orders!$D188,products!$A$1:$A$49,0),MATCH(orders!L$1,products!$A$1:$G$1,0))</f>
        <v>22.884999999999998</v>
      </c>
    </row>
    <row r="189" spans="1:12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>
        <f>IF(_xlfn.XLOOKUP(orders!C189,customers!$A:$A,customers!$C:$C,,0)=0,"",_xlfn.XLOOKUP(orders!C189,customers!$A:$A,customers!$C:$C,,0))</f>
        <v>lpratt57@netvibes.com</v>
      </c>
      <c r="H189" s="2" t="str">
        <f>_xlfn.XLOOKUP(C189,customers!$A:$A,customers!$G:$G,,0)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>
        <f>INDEX(products!$A$1:$G$49,MATCH(orders!$D189,products!$A$1:$A$49,0),MATCH(orders!K$1,products!$A$1:$G$1,0))</f>
        <v>0.5</v>
      </c>
      <c r="L189">
        <f>INDEX(products!$A$1:$G$49,MATCH(orders!$D189,products!$A$1:$A$49,0),MATCH(orders!L$1,products!$A$1:$G$1,0))</f>
        <v>8.73</v>
      </c>
    </row>
    <row r="190" spans="1:12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>
        <f>IF(_xlfn.XLOOKUP(orders!C190,customers!$A:$A,customers!$C:$C,,0)=0,"",_xlfn.XLOOKUP(orders!C190,customers!$A:$A,customers!$C:$C,,0))</f>
        <v>akitchingham58@com.com</v>
      </c>
      <c r="H190" s="2" t="str">
        <f>_xlfn.XLOOKUP(C190,customers!$A:$A,customers!$G:$G,,0)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>
        <f>INDEX(products!$A$1:$G$49,MATCH(orders!$D190,products!$A$1:$A$49,0),MATCH(orders!K$1,products!$A$1:$G$1,0))</f>
        <v>0.2</v>
      </c>
      <c r="L190">
        <f>INDEX(products!$A$1:$G$49,MATCH(orders!$D190,products!$A$1:$A$49,0),MATCH(orders!L$1,products!$A$1:$G$1,0))</f>
        <v>4.4550000000000001</v>
      </c>
    </row>
    <row r="191" spans="1:12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>
        <f>IF(_xlfn.XLOOKUP(orders!C191,customers!$A:$A,customers!$C:$C,,0)=0,"",_xlfn.XLOOKUP(orders!C191,customers!$A:$A,customers!$C:$C,,0))</f>
        <v>bbartholin59@xinhuanet.com</v>
      </c>
      <c r="H191" s="2" t="str">
        <f>_xlfn.XLOOKUP(C191,customers!$A:$A,customers!$G:$G,,0)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>
        <f>INDEX(products!$A$1:$G$49,MATCH(orders!$D191,products!$A$1:$A$49,0),MATCH(orders!K$1,products!$A$1:$G$1,0))</f>
        <v>1</v>
      </c>
      <c r="L191">
        <f>INDEX(products!$A$1:$G$49,MATCH(orders!$D191,products!$A$1:$A$49,0),MATCH(orders!L$1,products!$A$1:$G$1,0))</f>
        <v>14.55</v>
      </c>
    </row>
    <row r="192" spans="1:12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>
        <f>IF(_xlfn.XLOOKUP(orders!C192,customers!$A:$A,customers!$C:$C,,0)=0,"",_xlfn.XLOOKUP(orders!C192,customers!$A:$A,customers!$C:$C,,0))</f>
        <v>mprinn5a@usa.gov</v>
      </c>
      <c r="H192" s="2" t="str">
        <f>_xlfn.XLOOKUP(C192,customers!$A:$A,customers!$G:$G,,0)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>
        <f>INDEX(products!$A$1:$G$49,MATCH(orders!$D192,products!$A$1:$A$49,0),MATCH(orders!K$1,products!$A$1:$G$1,0))</f>
        <v>2.5</v>
      </c>
      <c r="L192">
        <f>INDEX(products!$A$1:$G$49,MATCH(orders!$D192,products!$A$1:$A$49,0),MATCH(orders!L$1,products!$A$1:$G$1,0))</f>
        <v>33.464999999999996</v>
      </c>
    </row>
    <row r="193" spans="1:12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>
        <f>IF(_xlfn.XLOOKUP(orders!C193,customers!$A:$A,customers!$C:$C,,0)=0,"",_xlfn.XLOOKUP(orders!C193,customers!$A:$A,customers!$C:$C,,0))</f>
        <v>abaudino5b@netvibes.com</v>
      </c>
      <c r="H193" s="2" t="str">
        <f>_xlfn.XLOOKUP(C193,customers!$A:$A,customers!$G:$G,,0)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>
        <f>INDEX(products!$A$1:$G$49,MATCH(orders!$D193,products!$A$1:$A$49,0),MATCH(orders!K$1,products!$A$1:$G$1,0))</f>
        <v>0.2</v>
      </c>
      <c r="L193">
        <f>INDEX(products!$A$1:$G$49,MATCH(orders!$D193,products!$A$1:$A$49,0),MATCH(orders!L$1,products!$A$1:$G$1,0))</f>
        <v>3.8849999999999998</v>
      </c>
    </row>
    <row r="194" spans="1:12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>
        <f>IF(_xlfn.XLOOKUP(orders!C194,customers!$A:$A,customers!$C:$C,,0)=0,"",_xlfn.XLOOKUP(orders!C194,customers!$A:$A,customers!$C:$C,,0))</f>
        <v>ppetrushanko5c@blinklist.com</v>
      </c>
      <c r="H194" s="2" t="str">
        <f>_xlfn.XLOOKUP(C194,customers!$A:$A,customers!$G:$G,,0)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>
        <f>INDEX(products!$A$1:$G$49,MATCH(orders!$D194,products!$A$1:$A$49,0),MATCH(orders!K$1,products!$A$1:$G$1,0))</f>
        <v>1</v>
      </c>
      <c r="L194">
        <f>INDEX(products!$A$1:$G$49,MATCH(orders!$D194,products!$A$1:$A$49,0),MATCH(orders!L$1,products!$A$1:$G$1,0))</f>
        <v>12.15</v>
      </c>
    </row>
    <row r="195" spans="1:12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 t="str">
        <f>IF(_xlfn.XLOOKUP(orders!C195,customers!$A:$A,customers!$C:$C,,0)=0,"",_xlfn.XLOOKUP(orders!C195,customers!$A:$A,customers!$C:$C,,0))</f>
        <v/>
      </c>
      <c r="H195" s="2" t="str">
        <f>_xlfn.XLOOKUP(C195,customers!$A:$A,customers!$G:$G,,0)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>
        <f>INDEX(products!$A$1:$G$49,MATCH(orders!$D195,products!$A$1:$A$49,0),MATCH(orders!K$1,products!$A$1:$G$1,0))</f>
        <v>1</v>
      </c>
      <c r="L195">
        <f>INDEX(products!$A$1:$G$49,MATCH(orders!$D195,products!$A$1:$A$49,0),MATCH(orders!L$1,products!$A$1:$G$1,0))</f>
        <v>14.85</v>
      </c>
    </row>
    <row r="196" spans="1:12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>
        <f>IF(_xlfn.XLOOKUP(orders!C196,customers!$A:$A,customers!$C:$C,,0)=0,"",_xlfn.XLOOKUP(orders!C196,customers!$A:$A,customers!$C:$C,,0))</f>
        <v>elaird5e@bing.com</v>
      </c>
      <c r="H196" s="2" t="str">
        <f>_xlfn.XLOOKUP(C196,customers!$A:$A,customers!$G:$G,,0)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>
        <f>INDEX(products!$A$1:$G$49,MATCH(orders!$D196,products!$A$1:$A$49,0),MATCH(orders!K$1,products!$A$1:$G$1,0))</f>
        <v>0.5</v>
      </c>
      <c r="L196">
        <f>INDEX(products!$A$1:$G$49,MATCH(orders!$D196,products!$A$1:$A$49,0),MATCH(orders!L$1,products!$A$1:$G$1,0))</f>
        <v>7.29</v>
      </c>
    </row>
    <row r="197" spans="1:12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>
        <f>IF(_xlfn.XLOOKUP(orders!C197,customers!$A:$A,customers!$C:$C,,0)=0,"",_xlfn.XLOOKUP(orders!C197,customers!$A:$A,customers!$C:$C,,0))</f>
        <v>mhowsden5f@infoseek.co.jp</v>
      </c>
      <c r="H197" s="2" t="str">
        <f>_xlfn.XLOOKUP(C197,customers!$A:$A,customers!$G:$G,,0)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>
        <f>INDEX(products!$A$1:$G$49,MATCH(orders!$D197,products!$A$1:$A$49,0),MATCH(orders!K$1,products!$A$1:$G$1,0))</f>
        <v>1</v>
      </c>
      <c r="L197">
        <f>INDEX(products!$A$1:$G$49,MATCH(orders!$D197,products!$A$1:$A$49,0),MATCH(orders!L$1,products!$A$1:$G$1,0))</f>
        <v>12.95</v>
      </c>
    </row>
    <row r="198" spans="1:12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>
        <f>IF(_xlfn.XLOOKUP(orders!C198,customers!$A:$A,customers!$C:$C,,0)=0,"",_xlfn.XLOOKUP(orders!C198,customers!$A:$A,customers!$C:$C,,0))</f>
        <v>ncuttler5g@parallels.com</v>
      </c>
      <c r="H198" s="2" t="str">
        <f>_xlfn.XLOOKUP(C198,customers!$A:$A,customers!$G:$G,,0)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>
        <f>INDEX(products!$A$1:$G$49,MATCH(orders!$D198,products!$A$1:$A$49,0),MATCH(orders!K$1,products!$A$1:$G$1,0))</f>
        <v>0.5</v>
      </c>
      <c r="L198">
        <f>INDEX(products!$A$1:$G$49,MATCH(orders!$D198,products!$A$1:$A$49,0),MATCH(orders!L$1,products!$A$1:$G$1,0))</f>
        <v>8.91</v>
      </c>
    </row>
    <row r="199" spans="1:12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>
        <f>IF(_xlfn.XLOOKUP(orders!C199,customers!$A:$A,customers!$C:$C,,0)=0,"",_xlfn.XLOOKUP(orders!C199,customers!$A:$A,customers!$C:$C,,0))</f>
        <v>ncuttler5g@parallels.com</v>
      </c>
      <c r="H199" s="2" t="str">
        <f>_xlfn.XLOOKUP(C199,customers!$A:$A,customers!$G:$G,,0)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>
        <f>INDEX(products!$A$1:$G$49,MATCH(orders!$D199,products!$A$1:$A$49,0),MATCH(orders!K$1,products!$A$1:$G$1,0))</f>
        <v>2.5</v>
      </c>
      <c r="L199">
        <f>INDEX(products!$A$1:$G$49,MATCH(orders!$D199,products!$A$1:$A$49,0),MATCH(orders!L$1,products!$A$1:$G$1,0))</f>
        <v>29.784999999999997</v>
      </c>
    </row>
    <row r="200" spans="1:12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>
        <f>IF(_xlfn.XLOOKUP(orders!C200,customers!$A:$A,customers!$C:$C,,0)=0,"",_xlfn.XLOOKUP(orders!C200,customers!$A:$A,customers!$C:$C,,0))</f>
        <v>ncuttler5g@parallels.com</v>
      </c>
      <c r="H200" s="2" t="str">
        <f>_xlfn.XLOOKUP(C200,customers!$A:$A,customers!$G:$G,,0)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>
        <f>INDEX(products!$A$1:$G$49,MATCH(orders!$D200,products!$A$1:$A$49,0),MATCH(orders!K$1,products!$A$1:$G$1,0))</f>
        <v>2.5</v>
      </c>
      <c r="L200">
        <f>INDEX(products!$A$1:$G$49,MATCH(orders!$D200,products!$A$1:$A$49,0),MATCH(orders!L$1,products!$A$1:$G$1,0))</f>
        <v>29.784999999999997</v>
      </c>
    </row>
    <row r="201" spans="1:12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>
        <f>IF(_xlfn.XLOOKUP(orders!C201,customers!$A:$A,customers!$C:$C,,0)=0,"",_xlfn.XLOOKUP(orders!C201,customers!$A:$A,customers!$C:$C,,0))</f>
        <v>ncuttler5g@parallels.com</v>
      </c>
      <c r="H201" s="2" t="str">
        <f>_xlfn.XLOOKUP(C201,customers!$A:$A,customers!$G:$G,,0)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>
        <f>INDEX(products!$A$1:$G$49,MATCH(orders!$D201,products!$A$1:$A$49,0),MATCH(orders!K$1,products!$A$1:$G$1,0))</f>
        <v>0.5</v>
      </c>
      <c r="L201">
        <f>INDEX(products!$A$1:$G$49,MATCH(orders!$D201,products!$A$1:$A$49,0),MATCH(orders!L$1,products!$A$1:$G$1,0))</f>
        <v>9.51</v>
      </c>
    </row>
    <row r="202" spans="1:12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>
        <f>IF(_xlfn.XLOOKUP(orders!C202,customers!$A:$A,customers!$C:$C,,0)=0,"",_xlfn.XLOOKUP(orders!C202,customers!$A:$A,customers!$C:$C,,0))</f>
        <v>ncuttler5g@parallels.com</v>
      </c>
      <c r="H202" s="2" t="str">
        <f>_xlfn.XLOOKUP(C202,customers!$A:$A,customers!$G:$G,,0)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>
        <f>INDEX(products!$A$1:$G$49,MATCH(orders!$D202,products!$A$1:$A$49,0),MATCH(orders!K$1,products!$A$1:$G$1,0))</f>
        <v>1</v>
      </c>
      <c r="L202">
        <f>INDEX(products!$A$1:$G$49,MATCH(orders!$D202,products!$A$1:$A$49,0),MATCH(orders!L$1,products!$A$1:$G$1,0))</f>
        <v>13.75</v>
      </c>
    </row>
    <row r="203" spans="1:12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 t="str">
        <f>IF(_xlfn.XLOOKUP(orders!C203,customers!$A:$A,customers!$C:$C,,0)=0,"",_xlfn.XLOOKUP(orders!C203,customers!$A:$A,customers!$C:$C,,0))</f>
        <v/>
      </c>
      <c r="H203" s="2" t="str">
        <f>_xlfn.XLOOKUP(C203,customers!$A:$A,customers!$G:$G,,0)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>
        <f>INDEX(products!$A$1:$G$49,MATCH(orders!$D203,products!$A$1:$A$49,0),MATCH(orders!K$1,products!$A$1:$G$1,0))</f>
        <v>0.5</v>
      </c>
      <c r="L203">
        <f>INDEX(products!$A$1:$G$49,MATCH(orders!$D203,products!$A$1:$A$49,0),MATCH(orders!L$1,products!$A$1:$G$1,0))</f>
        <v>9.51</v>
      </c>
    </row>
    <row r="204" spans="1:12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>
        <f>IF(_xlfn.XLOOKUP(orders!C204,customers!$A:$A,customers!$C:$C,,0)=0,"",_xlfn.XLOOKUP(orders!C204,customers!$A:$A,customers!$C:$C,,0))</f>
        <v>tfelip5m@typepad.com</v>
      </c>
      <c r="H204" s="2" t="str">
        <f>_xlfn.XLOOKUP(C204,customers!$A:$A,customers!$G:$G,,0)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>
        <f>INDEX(products!$A$1:$G$49,MATCH(orders!$D204,products!$A$1:$A$49,0),MATCH(orders!K$1,products!$A$1:$G$1,0))</f>
        <v>2.5</v>
      </c>
      <c r="L204">
        <f>INDEX(products!$A$1:$G$49,MATCH(orders!$D204,products!$A$1:$A$49,0),MATCH(orders!L$1,products!$A$1:$G$1,0))</f>
        <v>29.784999999999997</v>
      </c>
    </row>
    <row r="205" spans="1:12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>
        <f>IF(_xlfn.XLOOKUP(orders!C205,customers!$A:$A,customers!$C:$C,,0)=0,"",_xlfn.XLOOKUP(orders!C205,customers!$A:$A,customers!$C:$C,,0))</f>
        <v>vle5n@disqus.com</v>
      </c>
      <c r="H205" s="2" t="str">
        <f>_xlfn.XLOOKUP(C205,customers!$A:$A,customers!$G:$G,,0)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>
        <f>INDEX(products!$A$1:$G$49,MATCH(orders!$D205,products!$A$1:$A$49,0),MATCH(orders!K$1,products!$A$1:$G$1,0))</f>
        <v>0.2</v>
      </c>
      <c r="L205">
        <f>INDEX(products!$A$1:$G$49,MATCH(orders!$D205,products!$A$1:$A$49,0),MATCH(orders!L$1,products!$A$1:$G$1,0))</f>
        <v>4.7549999999999999</v>
      </c>
    </row>
    <row r="206" spans="1:12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 t="str">
        <f>IF(_xlfn.XLOOKUP(orders!C206,customers!$A:$A,customers!$C:$C,,0)=0,"",_xlfn.XLOOKUP(orders!C206,customers!$A:$A,customers!$C:$C,,0))</f>
        <v/>
      </c>
      <c r="H206" s="2" t="str">
        <f>_xlfn.XLOOKUP(C206,customers!$A:$A,customers!$G:$G,,0)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>
        <f>INDEX(products!$A$1:$G$49,MATCH(orders!$D206,products!$A$1:$A$49,0),MATCH(orders!K$1,products!$A$1:$G$1,0))</f>
        <v>1</v>
      </c>
      <c r="L206">
        <f>INDEX(products!$A$1:$G$49,MATCH(orders!$D206,products!$A$1:$A$49,0),MATCH(orders!L$1,products!$A$1:$G$1,0))</f>
        <v>13.75</v>
      </c>
    </row>
    <row r="207" spans="1:12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 t="str">
        <f>IF(_xlfn.XLOOKUP(orders!C207,customers!$A:$A,customers!$C:$C,,0)=0,"",_xlfn.XLOOKUP(orders!C207,customers!$A:$A,customers!$C:$C,,0))</f>
        <v/>
      </c>
      <c r="H207" s="2" t="str">
        <f>_xlfn.XLOOKUP(C207,customers!$A:$A,customers!$G:$G,,0)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>
        <f>INDEX(products!$A$1:$G$49,MATCH(orders!$D207,products!$A$1:$A$49,0),MATCH(orders!K$1,products!$A$1:$G$1,0))</f>
        <v>0.2</v>
      </c>
      <c r="L207">
        <f>INDEX(products!$A$1:$G$49,MATCH(orders!$D207,products!$A$1:$A$49,0),MATCH(orders!L$1,products!$A$1:$G$1,0))</f>
        <v>2.6849999999999996</v>
      </c>
    </row>
    <row r="208" spans="1:12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>
        <f>IF(_xlfn.XLOOKUP(orders!C208,customers!$A:$A,customers!$C:$C,,0)=0,"",_xlfn.XLOOKUP(orders!C208,customers!$A:$A,customers!$C:$C,,0))</f>
        <v>npoolman5q@howstuffworks.com</v>
      </c>
      <c r="H208" s="2" t="str">
        <f>_xlfn.XLOOKUP(C208,customers!$A:$A,customers!$G:$G,,0)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>
        <f>INDEX(products!$A$1:$G$49,MATCH(orders!$D208,products!$A$1:$A$49,0),MATCH(orders!K$1,products!$A$1:$G$1,0))</f>
        <v>1</v>
      </c>
      <c r="L208">
        <f>INDEX(products!$A$1:$G$49,MATCH(orders!$D208,products!$A$1:$A$49,0),MATCH(orders!L$1,products!$A$1:$G$1,0))</f>
        <v>11.25</v>
      </c>
    </row>
    <row r="209" spans="1:12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>
        <f>IF(_xlfn.XLOOKUP(orders!C209,customers!$A:$A,customers!$C:$C,,0)=0,"",_xlfn.XLOOKUP(orders!C209,customers!$A:$A,customers!$C:$C,,0))</f>
        <v>oduny5r@constantcontact.com</v>
      </c>
      <c r="H209" s="2" t="str">
        <f>_xlfn.XLOOKUP(C209,customers!$A:$A,customers!$G:$G,,0)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>
        <f>INDEX(products!$A$1:$G$49,MATCH(orders!$D209,products!$A$1:$A$49,0),MATCH(orders!K$1,products!$A$1:$G$1,0))</f>
        <v>0.5</v>
      </c>
      <c r="L209">
        <f>INDEX(products!$A$1:$G$49,MATCH(orders!$D209,products!$A$1:$A$49,0),MATCH(orders!L$1,products!$A$1:$G$1,0))</f>
        <v>6.75</v>
      </c>
    </row>
    <row r="210" spans="1:12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>
        <f>IF(_xlfn.XLOOKUP(orders!C210,customers!$A:$A,customers!$C:$C,,0)=0,"",_xlfn.XLOOKUP(orders!C210,customers!$A:$A,customers!$C:$C,,0))</f>
        <v>chalfhide5s@google.ru</v>
      </c>
      <c r="H210" s="2" t="str">
        <f>_xlfn.XLOOKUP(C210,customers!$A:$A,customers!$G:$G,,0)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>
        <f>INDEX(products!$A$1:$G$49,MATCH(orders!$D210,products!$A$1:$A$49,0),MATCH(orders!K$1,products!$A$1:$G$1,0))</f>
        <v>0.5</v>
      </c>
      <c r="L210">
        <f>INDEX(products!$A$1:$G$49,MATCH(orders!$D210,products!$A$1:$A$49,0),MATCH(orders!L$1,products!$A$1:$G$1,0))</f>
        <v>7.29</v>
      </c>
    </row>
    <row r="211" spans="1:12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>
        <f>IF(_xlfn.XLOOKUP(orders!C211,customers!$A:$A,customers!$C:$C,,0)=0,"",_xlfn.XLOOKUP(orders!C211,customers!$A:$A,customers!$C:$C,,0))</f>
        <v>fmalecky5t@list-manage.com</v>
      </c>
      <c r="H211" s="2" t="str">
        <f>_xlfn.XLOOKUP(C211,customers!$A:$A,customers!$G:$G,,0)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>
        <f>INDEX(products!$A$1:$G$49,MATCH(orders!$D211,products!$A$1:$A$49,0),MATCH(orders!K$1,products!$A$1:$G$1,0))</f>
        <v>0.5</v>
      </c>
      <c r="L211">
        <f>INDEX(products!$A$1:$G$49,MATCH(orders!$D211,products!$A$1:$A$49,0),MATCH(orders!L$1,products!$A$1:$G$1,0))</f>
        <v>6.75</v>
      </c>
    </row>
    <row r="212" spans="1:12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>
        <f>IF(_xlfn.XLOOKUP(orders!C212,customers!$A:$A,customers!$C:$C,,0)=0,"",_xlfn.XLOOKUP(orders!C212,customers!$A:$A,customers!$C:$C,,0))</f>
        <v>aattwater5u@wikia.com</v>
      </c>
      <c r="H212" s="2" t="str">
        <f>_xlfn.XLOOKUP(C212,customers!$A:$A,customers!$G:$G,,0)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>
        <f>INDEX(products!$A$1:$G$49,MATCH(orders!$D212,products!$A$1:$A$49,0),MATCH(orders!K$1,products!$A$1:$G$1,0))</f>
        <v>1</v>
      </c>
      <c r="L212">
        <f>INDEX(products!$A$1:$G$49,MATCH(orders!$D212,products!$A$1:$A$49,0),MATCH(orders!L$1,products!$A$1:$G$1,0))</f>
        <v>12.95</v>
      </c>
    </row>
    <row r="213" spans="1:12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>
        <f>IF(_xlfn.XLOOKUP(orders!C213,customers!$A:$A,customers!$C:$C,,0)=0,"",_xlfn.XLOOKUP(orders!C213,customers!$A:$A,customers!$C:$C,,0))</f>
        <v>mwhellans5v@mapquest.com</v>
      </c>
      <c r="H213" s="2" t="str">
        <f>_xlfn.XLOOKUP(C213,customers!$A:$A,customers!$G:$G,,0)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>
        <f>INDEX(products!$A$1:$G$49,MATCH(orders!$D213,products!$A$1:$A$49,0),MATCH(orders!K$1,products!$A$1:$G$1,0))</f>
        <v>0.5</v>
      </c>
      <c r="L213">
        <f>INDEX(products!$A$1:$G$49,MATCH(orders!$D213,products!$A$1:$A$49,0),MATCH(orders!L$1,products!$A$1:$G$1,0))</f>
        <v>8.91</v>
      </c>
    </row>
    <row r="214" spans="1:12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>
        <f>IF(_xlfn.XLOOKUP(orders!C214,customers!$A:$A,customers!$C:$C,,0)=0,"",_xlfn.XLOOKUP(orders!C214,customers!$A:$A,customers!$C:$C,,0))</f>
        <v>dcamilletti5w@businesswire.com</v>
      </c>
      <c r="H214" s="2" t="str">
        <f>_xlfn.XLOOKUP(C214,customers!$A:$A,customers!$G:$G,,0)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>
        <f>INDEX(products!$A$1:$G$49,MATCH(orders!$D214,products!$A$1:$A$49,0),MATCH(orders!K$1,products!$A$1:$G$1,0))</f>
        <v>0.2</v>
      </c>
      <c r="L214">
        <f>INDEX(products!$A$1:$G$49,MATCH(orders!$D214,products!$A$1:$A$49,0),MATCH(orders!L$1,products!$A$1:$G$1,0))</f>
        <v>3.645</v>
      </c>
    </row>
    <row r="215" spans="1:12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>
        <f>IF(_xlfn.XLOOKUP(orders!C215,customers!$A:$A,customers!$C:$C,,0)=0,"",_xlfn.XLOOKUP(orders!C215,customers!$A:$A,customers!$C:$C,,0))</f>
        <v>egalgey5x@wufoo.com</v>
      </c>
      <c r="H215" s="2" t="str">
        <f>_xlfn.XLOOKUP(C215,customers!$A:$A,customers!$G:$G,,0)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>
        <f>INDEX(products!$A$1:$G$49,MATCH(orders!$D215,products!$A$1:$A$49,0),MATCH(orders!K$1,products!$A$1:$G$1,0))</f>
        <v>2.5</v>
      </c>
      <c r="L215">
        <f>INDEX(products!$A$1:$G$49,MATCH(orders!$D215,products!$A$1:$A$49,0),MATCH(orders!L$1,products!$A$1:$G$1,0))</f>
        <v>20.584999999999997</v>
      </c>
    </row>
    <row r="216" spans="1:12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>
        <f>IF(_xlfn.XLOOKUP(orders!C216,customers!$A:$A,customers!$C:$C,,0)=0,"",_xlfn.XLOOKUP(orders!C216,customers!$A:$A,customers!$C:$C,,0))</f>
        <v>mhame5y@newsvine.com</v>
      </c>
      <c r="H216" s="2" t="str">
        <f>_xlfn.XLOOKUP(C216,customers!$A:$A,customers!$G:$G,,0)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>
        <f>INDEX(products!$A$1:$G$49,MATCH(orders!$D216,products!$A$1:$A$49,0),MATCH(orders!K$1,products!$A$1:$G$1,0))</f>
        <v>1</v>
      </c>
      <c r="L216">
        <f>INDEX(products!$A$1:$G$49,MATCH(orders!$D216,products!$A$1:$A$49,0),MATCH(orders!L$1,products!$A$1:$G$1,0))</f>
        <v>15.85</v>
      </c>
    </row>
    <row r="217" spans="1:12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>
        <f>IF(_xlfn.XLOOKUP(orders!C217,customers!$A:$A,customers!$C:$C,,0)=0,"",_xlfn.XLOOKUP(orders!C217,customers!$A:$A,customers!$C:$C,,0))</f>
        <v>igurnee5z@usnews.com</v>
      </c>
      <c r="H217" s="2" t="str">
        <f>_xlfn.XLOOKUP(C217,customers!$A:$A,customers!$G:$G,,0)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>
        <f>INDEX(products!$A$1:$G$49,MATCH(orders!$D217,products!$A$1:$A$49,0),MATCH(orders!K$1,products!$A$1:$G$1,0))</f>
        <v>0.2</v>
      </c>
      <c r="L217">
        <f>INDEX(products!$A$1:$G$49,MATCH(orders!$D217,products!$A$1:$A$49,0),MATCH(orders!L$1,products!$A$1:$G$1,0))</f>
        <v>3.8849999999999998</v>
      </c>
    </row>
    <row r="218" spans="1:12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>
        <f>IF(_xlfn.XLOOKUP(orders!C218,customers!$A:$A,customers!$C:$C,,0)=0,"",_xlfn.XLOOKUP(orders!C218,customers!$A:$A,customers!$C:$C,,0))</f>
        <v>asnowding60@comsenz.com</v>
      </c>
      <c r="H218" s="2" t="str">
        <f>_xlfn.XLOOKUP(C218,customers!$A:$A,customers!$G:$G,,0)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>
        <f>INDEX(products!$A$1:$G$49,MATCH(orders!$D218,products!$A$1:$A$49,0),MATCH(orders!K$1,products!$A$1:$G$1,0))</f>
        <v>1</v>
      </c>
      <c r="L218">
        <f>INDEX(products!$A$1:$G$49,MATCH(orders!$D218,products!$A$1:$A$49,0),MATCH(orders!L$1,products!$A$1:$G$1,0))</f>
        <v>14.55</v>
      </c>
    </row>
    <row r="219" spans="1:12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>
        <f>IF(_xlfn.XLOOKUP(orders!C219,customers!$A:$A,customers!$C:$C,,0)=0,"",_xlfn.XLOOKUP(orders!C219,customers!$A:$A,customers!$C:$C,,0))</f>
        <v>gpoinsett61@berkeley.edu</v>
      </c>
      <c r="H219" s="2" t="str">
        <f>_xlfn.XLOOKUP(C219,customers!$A:$A,customers!$G:$G,,0)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>
        <f>INDEX(products!$A$1:$G$49,MATCH(orders!$D219,products!$A$1:$A$49,0),MATCH(orders!K$1,products!$A$1:$G$1,0))</f>
        <v>0.5</v>
      </c>
      <c r="L219">
        <f>INDEX(products!$A$1:$G$49,MATCH(orders!$D219,products!$A$1:$A$49,0),MATCH(orders!L$1,products!$A$1:$G$1,0))</f>
        <v>8.91</v>
      </c>
    </row>
    <row r="220" spans="1:12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>
        <f>IF(_xlfn.XLOOKUP(orders!C220,customers!$A:$A,customers!$C:$C,,0)=0,"",_xlfn.XLOOKUP(orders!C220,customers!$A:$A,customers!$C:$C,,0))</f>
        <v>rfurman62@t.co</v>
      </c>
      <c r="H220" s="2" t="str">
        <f>_xlfn.XLOOKUP(C220,customers!$A:$A,customers!$G:$G,,0)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>
        <f>INDEX(products!$A$1:$G$49,MATCH(orders!$D220,products!$A$1:$A$49,0),MATCH(orders!K$1,products!$A$1:$G$1,0))</f>
        <v>1</v>
      </c>
      <c r="L220">
        <f>INDEX(products!$A$1:$G$49,MATCH(orders!$D220,products!$A$1:$A$49,0),MATCH(orders!L$1,products!$A$1:$G$1,0))</f>
        <v>11.25</v>
      </c>
    </row>
    <row r="221" spans="1:12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>
        <f>IF(_xlfn.XLOOKUP(orders!C221,customers!$A:$A,customers!$C:$C,,0)=0,"",_xlfn.XLOOKUP(orders!C221,customers!$A:$A,customers!$C:$C,,0))</f>
        <v>ccrosier63@xrea.com</v>
      </c>
      <c r="H221" s="2" t="str">
        <f>_xlfn.XLOOKUP(C221,customers!$A:$A,customers!$G:$G,,0)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>
        <f>INDEX(products!$A$1:$G$49,MATCH(orders!$D221,products!$A$1:$A$49,0),MATCH(orders!K$1,products!$A$1:$G$1,0))</f>
        <v>0.2</v>
      </c>
      <c r="L221">
        <f>INDEX(products!$A$1:$G$49,MATCH(orders!$D221,products!$A$1:$A$49,0),MATCH(orders!L$1,products!$A$1:$G$1,0))</f>
        <v>3.5849999999999995</v>
      </c>
    </row>
    <row r="222" spans="1:12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>
        <f>IF(_xlfn.XLOOKUP(orders!C222,customers!$A:$A,customers!$C:$C,,0)=0,"",_xlfn.XLOOKUP(orders!C222,customers!$A:$A,customers!$C:$C,,0))</f>
        <v>ccrosier63@xrea.com</v>
      </c>
      <c r="H222" s="2" t="str">
        <f>_xlfn.XLOOKUP(C222,customers!$A:$A,customers!$G:$G,,0)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>
        <f>INDEX(products!$A$1:$G$49,MATCH(orders!$D222,products!$A$1:$A$49,0),MATCH(orders!K$1,products!$A$1:$G$1,0))</f>
        <v>0.2</v>
      </c>
      <c r="L222">
        <f>INDEX(products!$A$1:$G$49,MATCH(orders!$D222,products!$A$1:$A$49,0),MATCH(orders!L$1,products!$A$1:$G$1,0))</f>
        <v>2.9849999999999999</v>
      </c>
    </row>
    <row r="223" spans="1:12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>
        <f>IF(_xlfn.XLOOKUP(orders!C223,customers!$A:$A,customers!$C:$C,,0)=0,"",_xlfn.XLOOKUP(orders!C223,customers!$A:$A,customers!$C:$C,,0))</f>
        <v>lrushmer65@europa.eu</v>
      </c>
      <c r="H223" s="2" t="str">
        <f>_xlfn.XLOOKUP(C223,customers!$A:$A,customers!$G:$G,,0)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>
        <f>INDEX(products!$A$1:$G$49,MATCH(orders!$D223,products!$A$1:$A$49,0),MATCH(orders!K$1,products!$A$1:$G$1,0))</f>
        <v>1</v>
      </c>
      <c r="L223">
        <f>INDEX(products!$A$1:$G$49,MATCH(orders!$D223,products!$A$1:$A$49,0),MATCH(orders!L$1,products!$A$1:$G$1,0))</f>
        <v>12.95</v>
      </c>
    </row>
    <row r="224" spans="1:12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>
        <f>IF(_xlfn.XLOOKUP(orders!C224,customers!$A:$A,customers!$C:$C,,0)=0,"",_xlfn.XLOOKUP(orders!C224,customers!$A:$A,customers!$C:$C,,0))</f>
        <v>wedinborough66@github.io</v>
      </c>
      <c r="H224" s="2" t="str">
        <f>_xlfn.XLOOKUP(C224,customers!$A:$A,customers!$G:$G,,0)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>
        <f>INDEX(products!$A$1:$G$49,MATCH(orders!$D224,products!$A$1:$A$49,0),MATCH(orders!K$1,products!$A$1:$G$1,0))</f>
        <v>0.5</v>
      </c>
      <c r="L224">
        <f>INDEX(products!$A$1:$G$49,MATCH(orders!$D224,products!$A$1:$A$49,0),MATCH(orders!L$1,products!$A$1:$G$1,0))</f>
        <v>7.77</v>
      </c>
    </row>
    <row r="225" spans="1:12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 t="str">
        <f>IF(_xlfn.XLOOKUP(orders!C225,customers!$A:$A,customers!$C:$C,,0)=0,"",_xlfn.XLOOKUP(orders!C225,customers!$A:$A,customers!$C:$C,,0))</f>
        <v/>
      </c>
      <c r="H225" s="2" t="str">
        <f>_xlfn.XLOOKUP(C225,customers!$A:$A,customers!$G:$G,,0)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>
        <f>INDEX(products!$A$1:$G$49,MATCH(orders!$D225,products!$A$1:$A$49,0),MATCH(orders!K$1,products!$A$1:$G$1,0))</f>
        <v>1</v>
      </c>
      <c r="L225">
        <f>INDEX(products!$A$1:$G$49,MATCH(orders!$D225,products!$A$1:$A$49,0),MATCH(orders!L$1,products!$A$1:$G$1,0))</f>
        <v>14.85</v>
      </c>
    </row>
    <row r="226" spans="1:12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>
        <f>IF(_xlfn.XLOOKUP(orders!C226,customers!$A:$A,customers!$C:$C,,0)=0,"",_xlfn.XLOOKUP(orders!C226,customers!$A:$A,customers!$C:$C,,0))</f>
        <v>kbromehead68@un.org</v>
      </c>
      <c r="H226" s="2" t="str">
        <f>_xlfn.XLOOKUP(C226,customers!$A:$A,customers!$G:$G,,0)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>
        <f>INDEX(products!$A$1:$G$49,MATCH(orders!$D226,products!$A$1:$A$49,0),MATCH(orders!K$1,products!$A$1:$G$1,0))</f>
        <v>2.5</v>
      </c>
      <c r="L226">
        <f>INDEX(products!$A$1:$G$49,MATCH(orders!$D226,products!$A$1:$A$49,0),MATCH(orders!L$1,products!$A$1:$G$1,0))</f>
        <v>29.784999999999997</v>
      </c>
    </row>
    <row r="227" spans="1:12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>
        <f>IF(_xlfn.XLOOKUP(orders!C227,customers!$A:$A,customers!$C:$C,,0)=0,"",_xlfn.XLOOKUP(orders!C227,customers!$A:$A,customers!$C:$C,,0))</f>
        <v>ewesterman69@si.edu</v>
      </c>
      <c r="H227" s="2" t="str">
        <f>_xlfn.XLOOKUP(C227,customers!$A:$A,customers!$G:$G,,0)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>
        <f>INDEX(products!$A$1:$G$49,MATCH(orders!$D227,products!$A$1:$A$49,0),MATCH(orders!K$1,products!$A$1:$G$1,0))</f>
        <v>0.2</v>
      </c>
      <c r="L227">
        <f>INDEX(products!$A$1:$G$49,MATCH(orders!$D227,products!$A$1:$A$49,0),MATCH(orders!L$1,products!$A$1:$G$1,0))</f>
        <v>3.5849999999999995</v>
      </c>
    </row>
    <row r="228" spans="1:12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>
        <f>IF(_xlfn.XLOOKUP(orders!C228,customers!$A:$A,customers!$C:$C,,0)=0,"",_xlfn.XLOOKUP(orders!C228,customers!$A:$A,customers!$C:$C,,0))</f>
        <v>ahutchens6a@amazonaws.com</v>
      </c>
      <c r="H228" s="2" t="str">
        <f>_xlfn.XLOOKUP(C228,customers!$A:$A,customers!$G:$G,,0)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>
        <f>INDEX(products!$A$1:$G$49,MATCH(orders!$D228,products!$A$1:$A$49,0),MATCH(orders!K$1,products!$A$1:$G$1,0))</f>
        <v>2.5</v>
      </c>
      <c r="L228">
        <f>INDEX(products!$A$1:$G$49,MATCH(orders!$D228,products!$A$1:$A$49,0),MATCH(orders!L$1,products!$A$1:$G$1,0))</f>
        <v>25.874999999999996</v>
      </c>
    </row>
    <row r="229" spans="1:12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>
        <f>IF(_xlfn.XLOOKUP(orders!C229,customers!$A:$A,customers!$C:$C,,0)=0,"",_xlfn.XLOOKUP(orders!C229,customers!$A:$A,customers!$C:$C,,0))</f>
        <v>nwyvill6b@naver.com</v>
      </c>
      <c r="H229" s="2" t="str">
        <f>_xlfn.XLOOKUP(C229,customers!$A:$A,customers!$G:$G,,0)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>
        <f>INDEX(products!$A$1:$G$49,MATCH(orders!$D229,products!$A$1:$A$49,0),MATCH(orders!K$1,products!$A$1:$G$1,0))</f>
        <v>0.2</v>
      </c>
      <c r="L229">
        <f>INDEX(products!$A$1:$G$49,MATCH(orders!$D229,products!$A$1:$A$49,0),MATCH(orders!L$1,products!$A$1:$G$1,0))</f>
        <v>2.6849999999999996</v>
      </c>
    </row>
    <row r="230" spans="1:12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>
        <f>IF(_xlfn.XLOOKUP(orders!C230,customers!$A:$A,customers!$C:$C,,0)=0,"",_xlfn.XLOOKUP(orders!C230,customers!$A:$A,customers!$C:$C,,0))</f>
        <v>bmathon6c@barnesandnoble.com</v>
      </c>
      <c r="H230" s="2" t="str">
        <f>_xlfn.XLOOKUP(C230,customers!$A:$A,customers!$G:$G,,0)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>
        <f>INDEX(products!$A$1:$G$49,MATCH(orders!$D230,products!$A$1:$A$49,0),MATCH(orders!K$1,products!$A$1:$G$1,0))</f>
        <v>0.2</v>
      </c>
      <c r="L230">
        <f>INDEX(products!$A$1:$G$49,MATCH(orders!$D230,products!$A$1:$A$49,0),MATCH(orders!L$1,products!$A$1:$G$1,0))</f>
        <v>3.5849999999999995</v>
      </c>
    </row>
    <row r="231" spans="1:12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>
        <f>IF(_xlfn.XLOOKUP(orders!C231,customers!$A:$A,customers!$C:$C,,0)=0,"",_xlfn.XLOOKUP(orders!C231,customers!$A:$A,customers!$C:$C,,0))</f>
        <v>kstreight6d@about.com</v>
      </c>
      <c r="H231" s="2" t="str">
        <f>_xlfn.XLOOKUP(C231,customers!$A:$A,customers!$G:$G,,0)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>
        <f>INDEX(products!$A$1:$G$49,MATCH(orders!$D231,products!$A$1:$A$49,0),MATCH(orders!K$1,products!$A$1:$G$1,0))</f>
        <v>0.2</v>
      </c>
      <c r="L231">
        <f>INDEX(products!$A$1:$G$49,MATCH(orders!$D231,products!$A$1:$A$49,0),MATCH(orders!L$1,products!$A$1:$G$1,0))</f>
        <v>4.3650000000000002</v>
      </c>
    </row>
    <row r="232" spans="1:12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>
        <f>IF(_xlfn.XLOOKUP(orders!C232,customers!$A:$A,customers!$C:$C,,0)=0,"",_xlfn.XLOOKUP(orders!C232,customers!$A:$A,customers!$C:$C,,0))</f>
        <v>pcutchie6e@globo.com</v>
      </c>
      <c r="H232" s="2" t="str">
        <f>_xlfn.XLOOKUP(C232,customers!$A:$A,customers!$G:$G,,0)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>
        <f>INDEX(products!$A$1:$G$49,MATCH(orders!$D232,products!$A$1:$A$49,0),MATCH(orders!K$1,products!$A$1:$G$1,0))</f>
        <v>2.5</v>
      </c>
      <c r="L232">
        <f>INDEX(products!$A$1:$G$49,MATCH(orders!$D232,products!$A$1:$A$49,0),MATCH(orders!L$1,products!$A$1:$G$1,0))</f>
        <v>25.874999999999996</v>
      </c>
    </row>
    <row r="233" spans="1:12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 t="str">
        <f>IF(_xlfn.XLOOKUP(orders!C233,customers!$A:$A,customers!$C:$C,,0)=0,"",_xlfn.XLOOKUP(orders!C233,customers!$A:$A,customers!$C:$C,,0))</f>
        <v/>
      </c>
      <c r="H233" s="2" t="str">
        <f>_xlfn.XLOOKUP(C233,customers!$A:$A,customers!$G:$G,,0)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>
        <f>INDEX(products!$A$1:$G$49,MATCH(orders!$D233,products!$A$1:$A$49,0),MATCH(orders!K$1,products!$A$1:$G$1,0))</f>
        <v>0.2</v>
      </c>
      <c r="L233">
        <f>INDEX(products!$A$1:$G$49,MATCH(orders!$D233,products!$A$1:$A$49,0),MATCH(orders!L$1,products!$A$1:$G$1,0))</f>
        <v>4.3650000000000002</v>
      </c>
    </row>
    <row r="234" spans="1:12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>
        <f>IF(_xlfn.XLOOKUP(orders!C234,customers!$A:$A,customers!$C:$C,,0)=0,"",_xlfn.XLOOKUP(orders!C234,customers!$A:$A,customers!$C:$C,,0))</f>
        <v>cgheraldi6g@opera.com</v>
      </c>
      <c r="H234" s="2" t="str">
        <f>_xlfn.XLOOKUP(C234,customers!$A:$A,customers!$G:$G,,0)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>
        <f>INDEX(products!$A$1:$G$49,MATCH(orders!$D234,products!$A$1:$A$49,0),MATCH(orders!K$1,products!$A$1:$G$1,0))</f>
        <v>0.2</v>
      </c>
      <c r="L234">
        <f>INDEX(products!$A$1:$G$49,MATCH(orders!$D234,products!$A$1:$A$49,0),MATCH(orders!L$1,products!$A$1:$G$1,0))</f>
        <v>4.7549999999999999</v>
      </c>
    </row>
    <row r="235" spans="1:12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>
        <f>IF(_xlfn.XLOOKUP(orders!C235,customers!$A:$A,customers!$C:$C,,0)=0,"",_xlfn.XLOOKUP(orders!C235,customers!$A:$A,customers!$C:$C,,0))</f>
        <v>bkenwell6h@over-blog.com</v>
      </c>
      <c r="H235" s="2" t="str">
        <f>_xlfn.XLOOKUP(C235,customers!$A:$A,customers!$G:$G,,0)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>
        <f>INDEX(products!$A$1:$G$49,MATCH(orders!$D235,products!$A$1:$A$49,0),MATCH(orders!K$1,products!$A$1:$G$1,0))</f>
        <v>0.2</v>
      </c>
      <c r="L235">
        <f>INDEX(products!$A$1:$G$49,MATCH(orders!$D235,products!$A$1:$A$49,0),MATCH(orders!L$1,products!$A$1:$G$1,0))</f>
        <v>4.125</v>
      </c>
    </row>
    <row r="236" spans="1:12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>
        <f>IF(_xlfn.XLOOKUP(orders!C236,customers!$A:$A,customers!$C:$C,,0)=0,"",_xlfn.XLOOKUP(orders!C236,customers!$A:$A,customers!$C:$C,,0))</f>
        <v>tsutty6i@google.es</v>
      </c>
      <c r="H236" s="2" t="str">
        <f>_xlfn.XLOOKUP(C236,customers!$A:$A,customers!$G:$G,,0)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>
        <f>INDEX(products!$A$1:$G$49,MATCH(orders!$D236,products!$A$1:$A$49,0),MATCH(orders!K$1,products!$A$1:$G$1,0))</f>
        <v>2.5</v>
      </c>
      <c r="L236">
        <f>INDEX(products!$A$1:$G$49,MATCH(orders!$D236,products!$A$1:$A$49,0),MATCH(orders!L$1,products!$A$1:$G$1,0))</f>
        <v>36.454999999999998</v>
      </c>
    </row>
    <row r="237" spans="1:12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 t="str">
        <f>IF(_xlfn.XLOOKUP(orders!C237,customers!$A:$A,customers!$C:$C,,0)=0,"",_xlfn.XLOOKUP(orders!C237,customers!$A:$A,customers!$C:$C,,0))</f>
        <v/>
      </c>
      <c r="H237" s="2" t="str">
        <f>_xlfn.XLOOKUP(C237,customers!$A:$A,customers!$G:$G,,0)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>
        <f>INDEX(products!$A$1:$G$49,MATCH(orders!$D237,products!$A$1:$A$49,0),MATCH(orders!K$1,products!$A$1:$G$1,0))</f>
        <v>2.5</v>
      </c>
      <c r="L237">
        <f>INDEX(products!$A$1:$G$49,MATCH(orders!$D237,products!$A$1:$A$49,0),MATCH(orders!L$1,products!$A$1:$G$1,0))</f>
        <v>36.454999999999998</v>
      </c>
    </row>
    <row r="238" spans="1:12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>
        <f>IF(_xlfn.XLOOKUP(orders!C238,customers!$A:$A,customers!$C:$C,,0)=0,"",_xlfn.XLOOKUP(orders!C238,customers!$A:$A,customers!$C:$C,,0))</f>
        <v>charce6k@cafepress.com</v>
      </c>
      <c r="H238" s="2" t="str">
        <f>_xlfn.XLOOKUP(C238,customers!$A:$A,customers!$G:$G,,0)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>
        <f>INDEX(products!$A$1:$G$49,MATCH(orders!$D238,products!$A$1:$A$49,0),MATCH(orders!K$1,products!$A$1:$G$1,0))</f>
        <v>2.5</v>
      </c>
      <c r="L238">
        <f>INDEX(products!$A$1:$G$49,MATCH(orders!$D238,products!$A$1:$A$49,0),MATCH(orders!L$1,products!$A$1:$G$1,0))</f>
        <v>29.784999999999997</v>
      </c>
    </row>
    <row r="239" spans="1:12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 t="str">
        <f>IF(_xlfn.XLOOKUP(orders!C239,customers!$A:$A,customers!$C:$C,,0)=0,"",_xlfn.XLOOKUP(orders!C239,customers!$A:$A,customers!$C:$C,,0))</f>
        <v/>
      </c>
      <c r="H239" s="2" t="str">
        <f>_xlfn.XLOOKUP(C239,customers!$A:$A,customers!$G:$G,,0)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>
        <f>INDEX(products!$A$1:$G$49,MATCH(orders!$D239,products!$A$1:$A$49,0),MATCH(orders!K$1,products!$A$1:$G$1,0))</f>
        <v>0.2</v>
      </c>
      <c r="L239">
        <f>INDEX(products!$A$1:$G$49,MATCH(orders!$D239,products!$A$1:$A$49,0),MATCH(orders!L$1,products!$A$1:$G$1,0))</f>
        <v>3.5849999999999995</v>
      </c>
    </row>
    <row r="240" spans="1:12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>
        <f>IF(_xlfn.XLOOKUP(orders!C240,customers!$A:$A,customers!$C:$C,,0)=0,"",_xlfn.XLOOKUP(orders!C240,customers!$A:$A,customers!$C:$C,,0))</f>
        <v>fdrysdale6m@symantec.com</v>
      </c>
      <c r="H240" s="2" t="str">
        <f>_xlfn.XLOOKUP(C240,customers!$A:$A,customers!$G:$G,,0)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>
        <f>INDEX(products!$A$1:$G$49,MATCH(orders!$D240,products!$A$1:$A$49,0),MATCH(orders!K$1,products!$A$1:$G$1,0))</f>
        <v>2.5</v>
      </c>
      <c r="L240">
        <f>INDEX(products!$A$1:$G$49,MATCH(orders!$D240,products!$A$1:$A$49,0),MATCH(orders!L$1,products!$A$1:$G$1,0))</f>
        <v>22.884999999999998</v>
      </c>
    </row>
    <row r="241" spans="1:12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>
        <f>IF(_xlfn.XLOOKUP(orders!C241,customers!$A:$A,customers!$C:$C,,0)=0,"",_xlfn.XLOOKUP(orders!C241,customers!$A:$A,customers!$C:$C,,0))</f>
        <v>dmagowan6n@fc2.com</v>
      </c>
      <c r="H241" s="2" t="str">
        <f>_xlfn.XLOOKUP(C241,customers!$A:$A,customers!$G:$G,,0)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>
        <f>INDEX(products!$A$1:$G$49,MATCH(orders!$D241,products!$A$1:$A$49,0),MATCH(orders!K$1,products!$A$1:$G$1,0))</f>
        <v>1</v>
      </c>
      <c r="L241">
        <f>INDEX(products!$A$1:$G$49,MATCH(orders!$D241,products!$A$1:$A$49,0),MATCH(orders!L$1,products!$A$1:$G$1,0))</f>
        <v>14.85</v>
      </c>
    </row>
    <row r="242" spans="1:12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 t="str">
        <f>IF(_xlfn.XLOOKUP(orders!C242,customers!$A:$A,customers!$C:$C,,0)=0,"",_xlfn.XLOOKUP(orders!C242,customers!$A:$A,customers!$C:$C,,0))</f>
        <v/>
      </c>
      <c r="H242" s="2" t="str">
        <f>_xlfn.XLOOKUP(C242,customers!$A:$A,customers!$G:$G,,0)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>
        <f>INDEX(products!$A$1:$G$49,MATCH(orders!$D242,products!$A$1:$A$49,0),MATCH(orders!K$1,products!$A$1:$G$1,0))</f>
        <v>2.5</v>
      </c>
      <c r="L242">
        <f>INDEX(products!$A$1:$G$49,MATCH(orders!$D242,products!$A$1:$A$49,0),MATCH(orders!L$1,products!$A$1:$G$1,0))</f>
        <v>25.874999999999996</v>
      </c>
    </row>
    <row r="243" spans="1:12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 t="str">
        <f>IF(_xlfn.XLOOKUP(orders!C243,customers!$A:$A,customers!$C:$C,,0)=0,"",_xlfn.XLOOKUP(orders!C243,customers!$A:$A,customers!$C:$C,,0))</f>
        <v/>
      </c>
      <c r="H243" s="2" t="str">
        <f>_xlfn.XLOOKUP(C243,customers!$A:$A,customers!$G:$G,,0)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>
        <f>INDEX(products!$A$1:$G$49,MATCH(orders!$D243,products!$A$1:$A$49,0),MATCH(orders!K$1,products!$A$1:$G$1,0))</f>
        <v>2.5</v>
      </c>
      <c r="L243">
        <f>INDEX(products!$A$1:$G$49,MATCH(orders!$D243,products!$A$1:$A$49,0),MATCH(orders!L$1,products!$A$1:$G$1,0))</f>
        <v>22.884999999999998</v>
      </c>
    </row>
    <row r="244" spans="1:12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>
        <f>IF(_xlfn.XLOOKUP(orders!C244,customers!$A:$A,customers!$C:$C,,0)=0,"",_xlfn.XLOOKUP(orders!C244,customers!$A:$A,customers!$C:$C,,0))</f>
        <v>srushbrooke6q@youku.com</v>
      </c>
      <c r="H244" s="2" t="str">
        <f>_xlfn.XLOOKUP(C244,customers!$A:$A,customers!$G:$G,,0)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>
        <f>INDEX(products!$A$1:$G$49,MATCH(orders!$D244,products!$A$1:$A$49,0),MATCH(orders!K$1,products!$A$1:$G$1,0))</f>
        <v>1</v>
      </c>
      <c r="L244">
        <f>INDEX(products!$A$1:$G$49,MATCH(orders!$D244,products!$A$1:$A$49,0),MATCH(orders!L$1,products!$A$1:$G$1,0))</f>
        <v>12.15</v>
      </c>
    </row>
    <row r="245" spans="1:12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>
        <f>IF(_xlfn.XLOOKUP(orders!C245,customers!$A:$A,customers!$C:$C,,0)=0,"",_xlfn.XLOOKUP(orders!C245,customers!$A:$A,customers!$C:$C,,0))</f>
        <v>tdrynan6r@deviantart.com</v>
      </c>
      <c r="H245" s="2" t="str">
        <f>_xlfn.XLOOKUP(C245,customers!$A:$A,customers!$G:$G,,0)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>
        <f>INDEX(products!$A$1:$G$49,MATCH(orders!$D245,products!$A$1:$A$49,0),MATCH(orders!K$1,products!$A$1:$G$1,0))</f>
        <v>0.5</v>
      </c>
      <c r="L245">
        <f>INDEX(products!$A$1:$G$49,MATCH(orders!$D245,products!$A$1:$A$49,0),MATCH(orders!L$1,products!$A$1:$G$1,0))</f>
        <v>7.29</v>
      </c>
    </row>
    <row r="246" spans="1:12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>
        <f>IF(_xlfn.XLOOKUP(orders!C246,customers!$A:$A,customers!$C:$C,,0)=0,"",_xlfn.XLOOKUP(orders!C246,customers!$A:$A,customers!$C:$C,,0))</f>
        <v>eyurkov6s@hud.gov</v>
      </c>
      <c r="H246" s="2" t="str">
        <f>_xlfn.XLOOKUP(C246,customers!$A:$A,customers!$G:$G,,0)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>
        <f>INDEX(products!$A$1:$G$49,MATCH(orders!$D246,products!$A$1:$A$49,0),MATCH(orders!K$1,products!$A$1:$G$1,0))</f>
        <v>2.5</v>
      </c>
      <c r="L246">
        <f>INDEX(products!$A$1:$G$49,MATCH(orders!$D246,products!$A$1:$A$49,0),MATCH(orders!L$1,products!$A$1:$G$1,0))</f>
        <v>33.464999999999996</v>
      </c>
    </row>
    <row r="247" spans="1:12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>
        <f>IF(_xlfn.XLOOKUP(orders!C247,customers!$A:$A,customers!$C:$C,,0)=0,"",_xlfn.XLOOKUP(orders!C247,customers!$A:$A,customers!$C:$C,,0))</f>
        <v>lmallan6t@state.gov</v>
      </c>
      <c r="H247" s="2" t="str">
        <f>_xlfn.XLOOKUP(C247,customers!$A:$A,customers!$G:$G,,0)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>
        <f>INDEX(products!$A$1:$G$49,MATCH(orders!$D247,products!$A$1:$A$49,0),MATCH(orders!K$1,products!$A$1:$G$1,0))</f>
        <v>0.2</v>
      </c>
      <c r="L247">
        <f>INDEX(products!$A$1:$G$49,MATCH(orders!$D247,products!$A$1:$A$49,0),MATCH(orders!L$1,products!$A$1:$G$1,0))</f>
        <v>4.7549999999999999</v>
      </c>
    </row>
    <row r="248" spans="1:12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>
        <f>IF(_xlfn.XLOOKUP(orders!C248,customers!$A:$A,customers!$C:$C,,0)=0,"",_xlfn.XLOOKUP(orders!C248,customers!$A:$A,customers!$C:$C,,0))</f>
        <v>gbentjens6u@netlog.com</v>
      </c>
      <c r="H248" s="2" t="str">
        <f>_xlfn.XLOOKUP(C248,customers!$A:$A,customers!$G:$G,,0)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>
        <f>INDEX(products!$A$1:$G$49,MATCH(orders!$D248,products!$A$1:$A$49,0),MATCH(orders!K$1,products!$A$1:$G$1,0))</f>
        <v>1</v>
      </c>
      <c r="L248">
        <f>INDEX(products!$A$1:$G$49,MATCH(orders!$D248,products!$A$1:$A$49,0),MATCH(orders!L$1,products!$A$1:$G$1,0))</f>
        <v>12.95</v>
      </c>
    </row>
    <row r="249" spans="1:12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 t="str">
        <f>IF(_xlfn.XLOOKUP(orders!C249,customers!$A:$A,customers!$C:$C,,0)=0,"",_xlfn.XLOOKUP(orders!C249,customers!$A:$A,customers!$C:$C,,0))</f>
        <v/>
      </c>
      <c r="H249" s="2" t="str">
        <f>_xlfn.XLOOKUP(C249,customers!$A:$A,customers!$G:$G,,0)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>
        <f>INDEX(products!$A$1:$G$49,MATCH(orders!$D249,products!$A$1:$A$49,0),MATCH(orders!K$1,products!$A$1:$G$1,0))</f>
        <v>0.2</v>
      </c>
      <c r="L249">
        <f>INDEX(products!$A$1:$G$49,MATCH(orders!$D249,products!$A$1:$A$49,0),MATCH(orders!L$1,products!$A$1:$G$1,0))</f>
        <v>3.5849999999999995</v>
      </c>
    </row>
    <row r="250" spans="1:12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>
        <f>IF(_xlfn.XLOOKUP(orders!C250,customers!$A:$A,customers!$C:$C,,0)=0,"",_xlfn.XLOOKUP(orders!C250,customers!$A:$A,customers!$C:$C,,0))</f>
        <v>lentwistle6w@omniture.com</v>
      </c>
      <c r="H250" s="2" t="str">
        <f>_xlfn.XLOOKUP(C250,customers!$A:$A,customers!$G:$G,,0)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>
        <f>INDEX(products!$A$1:$G$49,MATCH(orders!$D250,products!$A$1:$A$49,0),MATCH(orders!K$1,products!$A$1:$G$1,0))</f>
        <v>1</v>
      </c>
      <c r="L250">
        <f>INDEX(products!$A$1:$G$49,MATCH(orders!$D250,products!$A$1:$A$49,0),MATCH(orders!L$1,products!$A$1:$G$1,0))</f>
        <v>9.9499999999999993</v>
      </c>
    </row>
    <row r="251" spans="1:12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>
        <f>IF(_xlfn.XLOOKUP(orders!C251,customers!$A:$A,customers!$C:$C,,0)=0,"",_xlfn.XLOOKUP(orders!C251,customers!$A:$A,customers!$C:$C,,0))</f>
        <v>zkiffe74@cyberchimps.com</v>
      </c>
      <c r="H251" s="2" t="str">
        <f>_xlfn.XLOOKUP(C251,customers!$A:$A,customers!$G:$G,,0)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>
        <f>INDEX(products!$A$1:$G$49,MATCH(orders!$D251,products!$A$1:$A$49,0),MATCH(orders!K$1,products!$A$1:$G$1,0))</f>
        <v>1</v>
      </c>
      <c r="L251">
        <f>INDEX(products!$A$1:$G$49,MATCH(orders!$D251,products!$A$1:$A$49,0),MATCH(orders!L$1,products!$A$1:$G$1,0))</f>
        <v>15.85</v>
      </c>
    </row>
    <row r="252" spans="1:12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>
        <f>IF(_xlfn.XLOOKUP(orders!C252,customers!$A:$A,customers!$C:$C,,0)=0,"",_xlfn.XLOOKUP(orders!C252,customers!$A:$A,customers!$C:$C,,0))</f>
        <v>macott6y@pagesperso-orange.fr</v>
      </c>
      <c r="H252" s="2" t="str">
        <f>_xlfn.XLOOKUP(C252,customers!$A:$A,customers!$G:$G,,0)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>
        <f>INDEX(products!$A$1:$G$49,MATCH(orders!$D252,products!$A$1:$A$49,0),MATCH(orders!K$1,products!$A$1:$G$1,0))</f>
        <v>0.2</v>
      </c>
      <c r="L252">
        <f>INDEX(products!$A$1:$G$49,MATCH(orders!$D252,products!$A$1:$A$49,0),MATCH(orders!L$1,products!$A$1:$G$1,0))</f>
        <v>2.9849999999999999</v>
      </c>
    </row>
    <row r="253" spans="1:12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>
        <f>IF(_xlfn.XLOOKUP(orders!C253,customers!$A:$A,customers!$C:$C,,0)=0,"",_xlfn.XLOOKUP(orders!C253,customers!$A:$A,customers!$C:$C,,0))</f>
        <v>cheaviside6z@rediff.com</v>
      </c>
      <c r="H253" s="2" t="str">
        <f>_xlfn.XLOOKUP(C253,customers!$A:$A,customers!$G:$G,,0)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>
        <f>INDEX(products!$A$1:$G$49,MATCH(orders!$D253,products!$A$1:$A$49,0),MATCH(orders!K$1,products!$A$1:$G$1,0))</f>
        <v>1</v>
      </c>
      <c r="L253">
        <f>INDEX(products!$A$1:$G$49,MATCH(orders!$D253,products!$A$1:$A$49,0),MATCH(orders!L$1,products!$A$1:$G$1,0))</f>
        <v>13.75</v>
      </c>
    </row>
    <row r="254" spans="1:12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 t="str">
        <f>IF(_xlfn.XLOOKUP(orders!C254,customers!$A:$A,customers!$C:$C,,0)=0,"",_xlfn.XLOOKUP(orders!C254,customers!$A:$A,customers!$C:$C,,0))</f>
        <v/>
      </c>
      <c r="H254" s="2" t="str">
        <f>_xlfn.XLOOKUP(C254,customers!$A:$A,customers!$G:$G,,0)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>
        <f>INDEX(products!$A$1:$G$49,MATCH(orders!$D254,products!$A$1:$A$49,0),MATCH(orders!K$1,products!$A$1:$G$1,0))</f>
        <v>1</v>
      </c>
      <c r="L254">
        <f>INDEX(products!$A$1:$G$49,MATCH(orders!$D254,products!$A$1:$A$49,0),MATCH(orders!L$1,products!$A$1:$G$1,0))</f>
        <v>9.9499999999999993</v>
      </c>
    </row>
    <row r="255" spans="1:12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>
        <f>IF(_xlfn.XLOOKUP(orders!C255,customers!$A:$A,customers!$C:$C,,0)=0,"",_xlfn.XLOOKUP(orders!C255,customers!$A:$A,customers!$C:$C,,0))</f>
        <v>lkernan71@wsj.com</v>
      </c>
      <c r="H255" s="2" t="str">
        <f>_xlfn.XLOOKUP(C255,customers!$A:$A,customers!$G:$G,,0)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>
        <f>INDEX(products!$A$1:$G$49,MATCH(orders!$D255,products!$A$1:$A$49,0),MATCH(orders!K$1,products!$A$1:$G$1,0))</f>
        <v>1</v>
      </c>
      <c r="L255">
        <f>INDEX(products!$A$1:$G$49,MATCH(orders!$D255,products!$A$1:$A$49,0),MATCH(orders!L$1,products!$A$1:$G$1,0))</f>
        <v>14.55</v>
      </c>
    </row>
    <row r="256" spans="1:12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>
        <f>IF(_xlfn.XLOOKUP(orders!C256,customers!$A:$A,customers!$C:$C,,0)=0,"",_xlfn.XLOOKUP(orders!C256,customers!$A:$A,customers!$C:$C,,0))</f>
        <v>rmclae72@dailymotion.com</v>
      </c>
      <c r="H256" s="2" t="str">
        <f>_xlfn.XLOOKUP(C256,customers!$A:$A,customers!$G:$G,,0)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>
        <f>INDEX(products!$A$1:$G$49,MATCH(orders!$D256,products!$A$1:$A$49,0),MATCH(orders!K$1,products!$A$1:$G$1,0))</f>
        <v>0.5</v>
      </c>
      <c r="L256">
        <f>INDEX(products!$A$1:$G$49,MATCH(orders!$D256,products!$A$1:$A$49,0),MATCH(orders!L$1,products!$A$1:$G$1,0))</f>
        <v>7.169999999999999</v>
      </c>
    </row>
    <row r="257" spans="1:12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>
        <f>IF(_xlfn.XLOOKUP(orders!C257,customers!$A:$A,customers!$C:$C,,0)=0,"",_xlfn.XLOOKUP(orders!C257,customers!$A:$A,customers!$C:$C,,0))</f>
        <v>cblowfelde73@ustream.tv</v>
      </c>
      <c r="H257" s="2" t="str">
        <f>_xlfn.XLOOKUP(C257,customers!$A:$A,customers!$G:$G,,0)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>
        <f>INDEX(products!$A$1:$G$49,MATCH(orders!$D257,products!$A$1:$A$49,0),MATCH(orders!K$1,products!$A$1:$G$1,0))</f>
        <v>0.5</v>
      </c>
      <c r="L257">
        <f>INDEX(products!$A$1:$G$49,MATCH(orders!$D257,products!$A$1:$A$49,0),MATCH(orders!L$1,products!$A$1:$G$1,0))</f>
        <v>7.169999999999999</v>
      </c>
    </row>
    <row r="258" spans="1:12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>
        <f>IF(_xlfn.XLOOKUP(orders!C258,customers!$A:$A,customers!$C:$C,,0)=0,"",_xlfn.XLOOKUP(orders!C258,customers!$A:$A,customers!$C:$C,,0))</f>
        <v>zkiffe74@cyberchimps.com</v>
      </c>
      <c r="H258" s="2" t="str">
        <f>_xlfn.XLOOKUP(C258,customers!$A:$A,customers!$G:$G,,0)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>
        <f>INDEX(products!$A$1:$G$49,MATCH(orders!$D258,products!$A$1:$A$49,0),MATCH(orders!K$1,products!$A$1:$G$1,0))</f>
        <v>0.5</v>
      </c>
      <c r="L258">
        <f>INDEX(products!$A$1:$G$49,MATCH(orders!$D258,products!$A$1:$A$49,0),MATCH(orders!L$1,products!$A$1:$G$1,0))</f>
        <v>8.73</v>
      </c>
    </row>
    <row r="259" spans="1:12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>
        <f>IF(_xlfn.XLOOKUP(orders!C259,customers!$A:$A,customers!$C:$C,,0)=0,"",_xlfn.XLOOKUP(orders!C259,customers!$A:$A,customers!$C:$C,,0))</f>
        <v>docalleran75@ucla.edu</v>
      </c>
      <c r="H259" s="2" t="str">
        <f>_xlfn.XLOOKUP(C259,customers!$A:$A,customers!$G:$G,,0)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>
        <f>INDEX(products!$A$1:$G$49,MATCH(orders!$D259,products!$A$1:$A$49,0),MATCH(orders!K$1,products!$A$1:$G$1,0))</f>
        <v>2.5</v>
      </c>
      <c r="L259">
        <f>INDEX(products!$A$1:$G$49,MATCH(orders!$D259,products!$A$1:$A$49,0),MATCH(orders!L$1,products!$A$1:$G$1,0))</f>
        <v>27.945</v>
      </c>
    </row>
    <row r="260" spans="1:12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>
        <f>IF(_xlfn.XLOOKUP(orders!C260,customers!$A:$A,customers!$C:$C,,0)=0,"",_xlfn.XLOOKUP(orders!C260,customers!$A:$A,customers!$C:$C,,0))</f>
        <v>ccromwell76@desdev.cn</v>
      </c>
      <c r="H260" s="2" t="str">
        <f>_xlfn.XLOOKUP(C260,customers!$A:$A,customers!$G:$G,,0)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>
        <f>INDEX(products!$A$1:$G$49,MATCH(orders!$D260,products!$A$1:$A$49,0),MATCH(orders!K$1,products!$A$1:$G$1,0))</f>
        <v>2.5</v>
      </c>
      <c r="L260">
        <f>INDEX(products!$A$1:$G$49,MATCH(orders!$D260,products!$A$1:$A$49,0),MATCH(orders!L$1,products!$A$1:$G$1,0))</f>
        <v>27.945</v>
      </c>
    </row>
    <row r="261" spans="1:12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>
        <f>IF(_xlfn.XLOOKUP(orders!C261,customers!$A:$A,customers!$C:$C,,0)=0,"",_xlfn.XLOOKUP(orders!C261,customers!$A:$A,customers!$C:$C,,0))</f>
        <v>ihay77@lulu.com</v>
      </c>
      <c r="H261" s="2" t="str">
        <f>_xlfn.XLOOKUP(C261,customers!$A:$A,customers!$G:$G,,0)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>
        <f>INDEX(products!$A$1:$G$49,MATCH(orders!$D261,products!$A$1:$A$49,0),MATCH(orders!K$1,products!$A$1:$G$1,0))</f>
        <v>0.2</v>
      </c>
      <c r="L261">
        <f>INDEX(products!$A$1:$G$49,MATCH(orders!$D261,products!$A$1:$A$49,0),MATCH(orders!L$1,products!$A$1:$G$1,0))</f>
        <v>2.9849999999999999</v>
      </c>
    </row>
    <row r="262" spans="1:12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>
        <f>IF(_xlfn.XLOOKUP(orders!C262,customers!$A:$A,customers!$C:$C,,0)=0,"",_xlfn.XLOOKUP(orders!C262,customers!$A:$A,customers!$C:$C,,0))</f>
        <v>ttaffarello78@sciencedaily.com</v>
      </c>
      <c r="H262" s="2" t="str">
        <f>_xlfn.XLOOKUP(C262,customers!$A:$A,customers!$G:$G,,0)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>
        <f>INDEX(products!$A$1:$G$49,MATCH(orders!$D262,products!$A$1:$A$49,0),MATCH(orders!K$1,products!$A$1:$G$1,0))</f>
        <v>2.5</v>
      </c>
      <c r="L262">
        <f>INDEX(products!$A$1:$G$49,MATCH(orders!$D262,products!$A$1:$A$49,0),MATCH(orders!L$1,products!$A$1:$G$1,0))</f>
        <v>27.484999999999996</v>
      </c>
    </row>
    <row r="263" spans="1:12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>
        <f>IF(_xlfn.XLOOKUP(orders!C263,customers!$A:$A,customers!$C:$C,,0)=0,"",_xlfn.XLOOKUP(orders!C263,customers!$A:$A,customers!$C:$C,,0))</f>
        <v>mcanty79@jigsy.com</v>
      </c>
      <c r="H263" s="2" t="str">
        <f>_xlfn.XLOOKUP(C263,customers!$A:$A,customers!$G:$G,,0)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>
        <f>INDEX(products!$A$1:$G$49,MATCH(orders!$D263,products!$A$1:$A$49,0),MATCH(orders!K$1,products!$A$1:$G$1,0))</f>
        <v>1</v>
      </c>
      <c r="L263">
        <f>INDEX(products!$A$1:$G$49,MATCH(orders!$D263,products!$A$1:$A$49,0),MATCH(orders!L$1,products!$A$1:$G$1,0))</f>
        <v>11.95</v>
      </c>
    </row>
    <row r="264" spans="1:12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>
        <f>IF(_xlfn.XLOOKUP(orders!C264,customers!$A:$A,customers!$C:$C,,0)=0,"",_xlfn.XLOOKUP(orders!C264,customers!$A:$A,customers!$C:$C,,0))</f>
        <v>jkopke7a@auda.org.au</v>
      </c>
      <c r="H264" s="2" t="str">
        <f>_xlfn.XLOOKUP(C264,customers!$A:$A,customers!$G:$G,,0)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>
        <f>INDEX(products!$A$1:$G$49,MATCH(orders!$D264,products!$A$1:$A$49,0),MATCH(orders!K$1,products!$A$1:$G$1,0))</f>
        <v>1</v>
      </c>
      <c r="L264">
        <f>INDEX(products!$A$1:$G$49,MATCH(orders!$D264,products!$A$1:$A$49,0),MATCH(orders!L$1,products!$A$1:$G$1,0))</f>
        <v>13.75</v>
      </c>
    </row>
    <row r="265" spans="1:12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 t="str">
        <f>IF(_xlfn.XLOOKUP(orders!C265,customers!$A:$A,customers!$C:$C,,0)=0,"",_xlfn.XLOOKUP(orders!C265,customers!$A:$A,customers!$C:$C,,0))</f>
        <v/>
      </c>
      <c r="H265" s="2" t="str">
        <f>_xlfn.XLOOKUP(C265,customers!$A:$A,customers!$G:$G,,0)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>
        <f>INDEX(products!$A$1:$G$49,MATCH(orders!$D265,products!$A$1:$A$49,0),MATCH(orders!K$1,products!$A$1:$G$1,0))</f>
        <v>2.5</v>
      </c>
      <c r="L265">
        <f>INDEX(products!$A$1:$G$49,MATCH(orders!$D265,products!$A$1:$A$49,0),MATCH(orders!L$1,products!$A$1:$G$1,0))</f>
        <v>33.464999999999996</v>
      </c>
    </row>
    <row r="266" spans="1:12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 t="str">
        <f>IF(_xlfn.XLOOKUP(orders!C266,customers!$A:$A,customers!$C:$C,,0)=0,"",_xlfn.XLOOKUP(orders!C266,customers!$A:$A,customers!$C:$C,,0))</f>
        <v/>
      </c>
      <c r="H266" s="2" t="str">
        <f>_xlfn.XLOOKUP(C266,customers!$A:$A,customers!$G:$G,,0)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>
        <f>INDEX(products!$A$1:$G$49,MATCH(orders!$D266,products!$A$1:$A$49,0),MATCH(orders!K$1,products!$A$1:$G$1,0))</f>
        <v>1</v>
      </c>
      <c r="L266">
        <f>INDEX(products!$A$1:$G$49,MATCH(orders!$D266,products!$A$1:$A$49,0),MATCH(orders!L$1,products!$A$1:$G$1,0))</f>
        <v>11.95</v>
      </c>
    </row>
    <row r="267" spans="1:12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>
        <f>IF(_xlfn.XLOOKUP(orders!C267,customers!$A:$A,customers!$C:$C,,0)=0,"",_xlfn.XLOOKUP(orders!C267,customers!$A:$A,customers!$C:$C,,0))</f>
        <v>vhellmore7d@bbc.co.uk</v>
      </c>
      <c r="H267" s="2" t="str">
        <f>_xlfn.XLOOKUP(C267,customers!$A:$A,customers!$G:$G,,0)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>
        <f>INDEX(products!$A$1:$G$49,MATCH(orders!$D267,products!$A$1:$A$49,0),MATCH(orders!K$1,products!$A$1:$G$1,0))</f>
        <v>0.5</v>
      </c>
      <c r="L267">
        <f>INDEX(products!$A$1:$G$49,MATCH(orders!$D267,products!$A$1:$A$49,0),MATCH(orders!L$1,products!$A$1:$G$1,0))</f>
        <v>5.97</v>
      </c>
    </row>
    <row r="268" spans="1:12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>
        <f>IF(_xlfn.XLOOKUP(orders!C268,customers!$A:$A,customers!$C:$C,,0)=0,"",_xlfn.XLOOKUP(orders!C268,customers!$A:$A,customers!$C:$C,,0))</f>
        <v>mseawright7e@nbcnews.com</v>
      </c>
      <c r="H268" s="2" t="str">
        <f>_xlfn.XLOOKUP(C268,customers!$A:$A,customers!$G:$G,,0)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>
        <f>INDEX(products!$A$1:$G$49,MATCH(orders!$D268,products!$A$1:$A$49,0),MATCH(orders!K$1,products!$A$1:$G$1,0))</f>
        <v>1</v>
      </c>
      <c r="L268">
        <f>INDEX(products!$A$1:$G$49,MATCH(orders!$D268,products!$A$1:$A$49,0),MATCH(orders!L$1,products!$A$1:$G$1,0))</f>
        <v>12.15</v>
      </c>
    </row>
    <row r="269" spans="1:12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>
        <f>IF(_xlfn.XLOOKUP(orders!C269,customers!$A:$A,customers!$C:$C,,0)=0,"",_xlfn.XLOOKUP(orders!C269,customers!$A:$A,customers!$C:$C,,0))</f>
        <v>snortheast7f@mashable.com</v>
      </c>
      <c r="H269" s="2" t="str">
        <f>_xlfn.XLOOKUP(C269,customers!$A:$A,customers!$G:$G,,0)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>
        <f>INDEX(products!$A$1:$G$49,MATCH(orders!$D269,products!$A$1:$A$49,0),MATCH(orders!K$1,products!$A$1:$G$1,0))</f>
        <v>0.2</v>
      </c>
      <c r="L269">
        <f>INDEX(products!$A$1:$G$49,MATCH(orders!$D269,products!$A$1:$A$49,0),MATCH(orders!L$1,products!$A$1:$G$1,0))</f>
        <v>3.645</v>
      </c>
    </row>
    <row r="270" spans="1:12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>
        <f>IF(_xlfn.XLOOKUP(orders!C270,customers!$A:$A,customers!$C:$C,,0)=0,"",_xlfn.XLOOKUP(orders!C270,customers!$A:$A,customers!$C:$C,,0))</f>
        <v>aattwater5u@wikia.com</v>
      </c>
      <c r="H270" s="2" t="str">
        <f>_xlfn.XLOOKUP(C270,customers!$A:$A,customers!$G:$G,,0)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>
        <f>INDEX(products!$A$1:$G$49,MATCH(orders!$D270,products!$A$1:$A$49,0),MATCH(orders!K$1,products!$A$1:$G$1,0))</f>
        <v>1</v>
      </c>
      <c r="L270">
        <f>INDEX(products!$A$1:$G$49,MATCH(orders!$D270,products!$A$1:$A$49,0),MATCH(orders!L$1,products!$A$1:$G$1,0))</f>
        <v>9.9499999999999993</v>
      </c>
    </row>
    <row r="271" spans="1:12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>
        <f>IF(_xlfn.XLOOKUP(orders!C271,customers!$A:$A,customers!$C:$C,,0)=0,"",_xlfn.XLOOKUP(orders!C271,customers!$A:$A,customers!$C:$C,,0))</f>
        <v>mfearon7h@reverbnation.com</v>
      </c>
      <c r="H271" s="2" t="str">
        <f>_xlfn.XLOOKUP(C271,customers!$A:$A,customers!$G:$G,,0)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>
        <f>INDEX(products!$A$1:$G$49,MATCH(orders!$D271,products!$A$1:$A$49,0),MATCH(orders!K$1,products!$A$1:$G$1,0))</f>
        <v>0.2</v>
      </c>
      <c r="L271">
        <f>INDEX(products!$A$1:$G$49,MATCH(orders!$D271,products!$A$1:$A$49,0),MATCH(orders!L$1,products!$A$1:$G$1,0))</f>
        <v>2.9849999999999999</v>
      </c>
    </row>
    <row r="272" spans="1:12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 t="str">
        <f>IF(_xlfn.XLOOKUP(orders!C272,customers!$A:$A,customers!$C:$C,,0)=0,"",_xlfn.XLOOKUP(orders!C272,customers!$A:$A,customers!$C:$C,,0))</f>
        <v/>
      </c>
      <c r="H272" s="2" t="str">
        <f>_xlfn.XLOOKUP(C272,customers!$A:$A,customers!$G:$G,,0)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>
        <f>INDEX(products!$A$1:$G$49,MATCH(orders!$D272,products!$A$1:$A$49,0),MATCH(orders!K$1,products!$A$1:$G$1,0))</f>
        <v>0.5</v>
      </c>
      <c r="L272">
        <f>INDEX(products!$A$1:$G$49,MATCH(orders!$D272,products!$A$1:$A$49,0),MATCH(orders!L$1,products!$A$1:$G$1,0))</f>
        <v>7.29</v>
      </c>
    </row>
    <row r="273" spans="1:12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>
        <f>IF(_xlfn.XLOOKUP(orders!C273,customers!$A:$A,customers!$C:$C,,0)=0,"",_xlfn.XLOOKUP(orders!C273,customers!$A:$A,customers!$C:$C,,0))</f>
        <v>jsisneros7j@a8.net</v>
      </c>
      <c r="H273" s="2" t="str">
        <f>_xlfn.XLOOKUP(C273,customers!$A:$A,customers!$G:$G,,0)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>
        <f>INDEX(products!$A$1:$G$49,MATCH(orders!$D273,products!$A$1:$A$49,0),MATCH(orders!K$1,products!$A$1:$G$1,0))</f>
        <v>0.2</v>
      </c>
      <c r="L273">
        <f>INDEX(products!$A$1:$G$49,MATCH(orders!$D273,products!$A$1:$A$49,0),MATCH(orders!L$1,products!$A$1:$G$1,0))</f>
        <v>2.9849999999999999</v>
      </c>
    </row>
    <row r="274" spans="1:12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>
        <f>IF(_xlfn.XLOOKUP(orders!C274,customers!$A:$A,customers!$C:$C,,0)=0,"",_xlfn.XLOOKUP(orders!C274,customers!$A:$A,customers!$C:$C,,0))</f>
        <v>zcarlson7k@bigcartel.com</v>
      </c>
      <c r="H274" s="2" t="str">
        <f>_xlfn.XLOOKUP(C274,customers!$A:$A,customers!$G:$G,,0)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>
        <f>INDEX(products!$A$1:$G$49,MATCH(orders!$D274,products!$A$1:$A$49,0),MATCH(orders!K$1,products!$A$1:$G$1,0))</f>
        <v>1</v>
      </c>
      <c r="L274">
        <f>INDEX(products!$A$1:$G$49,MATCH(orders!$D274,products!$A$1:$A$49,0),MATCH(orders!L$1,products!$A$1:$G$1,0))</f>
        <v>11.95</v>
      </c>
    </row>
    <row r="275" spans="1:12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>
        <f>IF(_xlfn.XLOOKUP(orders!C275,customers!$A:$A,customers!$C:$C,,0)=0,"",_xlfn.XLOOKUP(orders!C275,customers!$A:$A,customers!$C:$C,,0))</f>
        <v>wmaddox7l@timesonline.co.uk</v>
      </c>
      <c r="H275" s="2" t="str">
        <f>_xlfn.XLOOKUP(C275,customers!$A:$A,customers!$G:$G,,0)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>
        <f>INDEX(products!$A$1:$G$49,MATCH(orders!$D275,products!$A$1:$A$49,0),MATCH(orders!K$1,products!$A$1:$G$1,0))</f>
        <v>0.2</v>
      </c>
      <c r="L275">
        <f>INDEX(products!$A$1:$G$49,MATCH(orders!$D275,products!$A$1:$A$49,0),MATCH(orders!L$1,products!$A$1:$G$1,0))</f>
        <v>3.8849999999999998</v>
      </c>
    </row>
    <row r="276" spans="1:12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>
        <f>IF(_xlfn.XLOOKUP(orders!C276,customers!$A:$A,customers!$C:$C,,0)=0,"",_xlfn.XLOOKUP(orders!C276,customers!$A:$A,customers!$C:$C,,0))</f>
        <v>dhedlestone7m@craigslist.org</v>
      </c>
      <c r="H276" s="2" t="str">
        <f>_xlfn.XLOOKUP(C276,customers!$A:$A,customers!$G:$G,,0)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>
        <f>INDEX(products!$A$1:$G$49,MATCH(orders!$D276,products!$A$1:$A$49,0),MATCH(orders!K$1,products!$A$1:$G$1,0))</f>
        <v>2.5</v>
      </c>
      <c r="L276">
        <f>INDEX(products!$A$1:$G$49,MATCH(orders!$D276,products!$A$1:$A$49,0),MATCH(orders!L$1,products!$A$1:$G$1,0))</f>
        <v>25.874999999999996</v>
      </c>
    </row>
    <row r="277" spans="1:12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>
        <f>IF(_xlfn.XLOOKUP(orders!C277,customers!$A:$A,customers!$C:$C,,0)=0,"",_xlfn.XLOOKUP(orders!C277,customers!$A:$A,customers!$C:$C,,0))</f>
        <v>tcrowthe7n@europa.eu</v>
      </c>
      <c r="H277" s="2" t="str">
        <f>_xlfn.XLOOKUP(C277,customers!$A:$A,customers!$G:$G,,0)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>
        <f>INDEX(products!$A$1:$G$49,MATCH(orders!$D277,products!$A$1:$A$49,0),MATCH(orders!K$1,products!$A$1:$G$1,0))</f>
        <v>2.5</v>
      </c>
      <c r="L277">
        <f>INDEX(products!$A$1:$G$49,MATCH(orders!$D277,products!$A$1:$A$49,0),MATCH(orders!L$1,products!$A$1:$G$1,0))</f>
        <v>34.154999999999994</v>
      </c>
    </row>
    <row r="278" spans="1:12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>
        <f>IF(_xlfn.XLOOKUP(orders!C278,customers!$A:$A,customers!$C:$C,,0)=0,"",_xlfn.XLOOKUP(orders!C278,customers!$A:$A,customers!$C:$C,,0))</f>
        <v>dbury7o@tinyurl.com</v>
      </c>
      <c r="H278" s="2" t="str">
        <f>_xlfn.XLOOKUP(C278,customers!$A:$A,customers!$G:$G,,0)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>
        <f>INDEX(products!$A$1:$G$49,MATCH(orders!$D278,products!$A$1:$A$49,0),MATCH(orders!K$1,products!$A$1:$G$1,0))</f>
        <v>2.5</v>
      </c>
      <c r="L278">
        <f>INDEX(products!$A$1:$G$49,MATCH(orders!$D278,products!$A$1:$A$49,0),MATCH(orders!L$1,products!$A$1:$G$1,0))</f>
        <v>27.484999999999996</v>
      </c>
    </row>
    <row r="279" spans="1:12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>
        <f>IF(_xlfn.XLOOKUP(orders!C279,customers!$A:$A,customers!$C:$C,,0)=0,"",_xlfn.XLOOKUP(orders!C279,customers!$A:$A,customers!$C:$C,,0))</f>
        <v>gbroadbear7p@omniture.com</v>
      </c>
      <c r="H279" s="2" t="str">
        <f>_xlfn.XLOOKUP(C279,customers!$A:$A,customers!$G:$G,,0)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>
        <f>INDEX(products!$A$1:$G$49,MATCH(orders!$D279,products!$A$1:$A$49,0),MATCH(orders!K$1,products!$A$1:$G$1,0))</f>
        <v>1</v>
      </c>
      <c r="L279">
        <f>INDEX(products!$A$1:$G$49,MATCH(orders!$D279,products!$A$1:$A$49,0),MATCH(orders!L$1,products!$A$1:$G$1,0))</f>
        <v>14.85</v>
      </c>
    </row>
    <row r="280" spans="1:12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>
        <f>IF(_xlfn.XLOOKUP(orders!C280,customers!$A:$A,customers!$C:$C,,0)=0,"",_xlfn.XLOOKUP(orders!C280,customers!$A:$A,customers!$C:$C,,0))</f>
        <v>epalfrey7q@devhub.com</v>
      </c>
      <c r="H280" s="2" t="str">
        <f>_xlfn.XLOOKUP(C280,customers!$A:$A,customers!$G:$G,,0)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>
        <f>INDEX(products!$A$1:$G$49,MATCH(orders!$D280,products!$A$1:$A$49,0),MATCH(orders!K$1,products!$A$1:$G$1,0))</f>
        <v>0.2</v>
      </c>
      <c r="L280">
        <f>INDEX(products!$A$1:$G$49,MATCH(orders!$D280,products!$A$1:$A$49,0),MATCH(orders!L$1,products!$A$1:$G$1,0))</f>
        <v>3.8849999999999998</v>
      </c>
    </row>
    <row r="281" spans="1:12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>
        <f>IF(_xlfn.XLOOKUP(orders!C281,customers!$A:$A,customers!$C:$C,,0)=0,"",_xlfn.XLOOKUP(orders!C281,customers!$A:$A,customers!$C:$C,,0))</f>
        <v>pmetrick7r@rakuten.co.jp</v>
      </c>
      <c r="H281" s="2" t="str">
        <f>_xlfn.XLOOKUP(C281,customers!$A:$A,customers!$G:$G,,0)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>
        <f>INDEX(products!$A$1:$G$49,MATCH(orders!$D281,products!$A$1:$A$49,0),MATCH(orders!K$1,products!$A$1:$G$1,0))</f>
        <v>2.5</v>
      </c>
      <c r="L281">
        <f>INDEX(products!$A$1:$G$49,MATCH(orders!$D281,products!$A$1:$A$49,0),MATCH(orders!L$1,products!$A$1:$G$1,0))</f>
        <v>33.464999999999996</v>
      </c>
    </row>
    <row r="282" spans="1:12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 t="str">
        <f>IF(_xlfn.XLOOKUP(orders!C282,customers!$A:$A,customers!$C:$C,,0)=0,"",_xlfn.XLOOKUP(orders!C282,customers!$A:$A,customers!$C:$C,,0))</f>
        <v/>
      </c>
      <c r="H282" s="2" t="str">
        <f>_xlfn.XLOOKUP(C282,customers!$A:$A,customers!$G:$G,,0)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>
        <f>INDEX(products!$A$1:$G$49,MATCH(orders!$D282,products!$A$1:$A$49,0),MATCH(orders!K$1,products!$A$1:$G$1,0))</f>
        <v>0.5</v>
      </c>
      <c r="L282">
        <f>INDEX(products!$A$1:$G$49,MATCH(orders!$D282,products!$A$1:$A$49,0),MATCH(orders!L$1,products!$A$1:$G$1,0))</f>
        <v>8.25</v>
      </c>
    </row>
    <row r="283" spans="1:12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>
        <f>IF(_xlfn.XLOOKUP(orders!C283,customers!$A:$A,customers!$C:$C,,0)=0,"",_xlfn.XLOOKUP(orders!C283,customers!$A:$A,customers!$C:$C,,0))</f>
        <v>kkarby7t@sbwire.com</v>
      </c>
      <c r="H283" s="2" t="str">
        <f>_xlfn.XLOOKUP(C283,customers!$A:$A,customers!$G:$G,,0)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>
        <f>INDEX(products!$A$1:$G$49,MATCH(orders!$D283,products!$A$1:$A$49,0),MATCH(orders!K$1,products!$A$1:$G$1,0))</f>
        <v>1</v>
      </c>
      <c r="L283">
        <f>INDEX(products!$A$1:$G$49,MATCH(orders!$D283,products!$A$1:$A$49,0),MATCH(orders!L$1,products!$A$1:$G$1,0))</f>
        <v>14.85</v>
      </c>
    </row>
    <row r="284" spans="1:12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>
        <f>IF(_xlfn.XLOOKUP(orders!C284,customers!$A:$A,customers!$C:$C,,0)=0,"",_xlfn.XLOOKUP(orders!C284,customers!$A:$A,customers!$C:$C,,0))</f>
        <v>fcrumpe7u@ftc.gov</v>
      </c>
      <c r="H284" s="2" t="str">
        <f>_xlfn.XLOOKUP(C284,customers!$A:$A,customers!$G:$G,,0)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>
        <f>INDEX(products!$A$1:$G$49,MATCH(orders!$D284,products!$A$1:$A$49,0),MATCH(orders!K$1,products!$A$1:$G$1,0))</f>
        <v>0.5</v>
      </c>
      <c r="L284">
        <f>INDEX(products!$A$1:$G$49,MATCH(orders!$D284,products!$A$1:$A$49,0),MATCH(orders!L$1,products!$A$1:$G$1,0))</f>
        <v>7.77</v>
      </c>
    </row>
    <row r="285" spans="1:12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>
        <f>IF(_xlfn.XLOOKUP(orders!C285,customers!$A:$A,customers!$C:$C,,0)=0,"",_xlfn.XLOOKUP(orders!C285,customers!$A:$A,customers!$C:$C,,0))</f>
        <v>achatto7v@sakura.ne.jp</v>
      </c>
      <c r="H285" s="2" t="str">
        <f>_xlfn.XLOOKUP(C285,customers!$A:$A,customers!$G:$G,,0)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>
        <f>INDEX(products!$A$1:$G$49,MATCH(orders!$D285,products!$A$1:$A$49,0),MATCH(orders!K$1,products!$A$1:$G$1,0))</f>
        <v>0.5</v>
      </c>
      <c r="L285">
        <f>INDEX(products!$A$1:$G$49,MATCH(orders!$D285,products!$A$1:$A$49,0),MATCH(orders!L$1,products!$A$1:$G$1,0))</f>
        <v>5.3699999999999992</v>
      </c>
    </row>
    <row r="286" spans="1:12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 t="str">
        <f>IF(_xlfn.XLOOKUP(orders!C286,customers!$A:$A,customers!$C:$C,,0)=0,"",_xlfn.XLOOKUP(orders!C286,customers!$A:$A,customers!$C:$C,,0))</f>
        <v/>
      </c>
      <c r="H286" s="2" t="str">
        <f>_xlfn.XLOOKUP(C286,customers!$A:$A,customers!$G:$G,,0)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>
        <f>INDEX(products!$A$1:$G$49,MATCH(orders!$D286,products!$A$1:$A$49,0),MATCH(orders!K$1,products!$A$1:$G$1,0))</f>
        <v>2.5</v>
      </c>
      <c r="L286">
        <f>INDEX(products!$A$1:$G$49,MATCH(orders!$D286,products!$A$1:$A$49,0),MATCH(orders!L$1,products!$A$1:$G$1,0))</f>
        <v>31.624999999999996</v>
      </c>
    </row>
    <row r="287" spans="1:12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 t="str">
        <f>IF(_xlfn.XLOOKUP(orders!C287,customers!$A:$A,customers!$C:$C,,0)=0,"",_xlfn.XLOOKUP(orders!C287,customers!$A:$A,customers!$C:$C,,0))</f>
        <v/>
      </c>
      <c r="H287" s="2" t="str">
        <f>_xlfn.XLOOKUP(C287,customers!$A:$A,customers!$G:$G,,0)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>
        <f>INDEX(products!$A$1:$G$49,MATCH(orders!$D287,products!$A$1:$A$49,0),MATCH(orders!K$1,products!$A$1:$G$1,0))</f>
        <v>2.5</v>
      </c>
      <c r="L287">
        <f>INDEX(products!$A$1:$G$49,MATCH(orders!$D287,products!$A$1:$A$49,0),MATCH(orders!L$1,products!$A$1:$G$1,0))</f>
        <v>36.454999999999998</v>
      </c>
    </row>
    <row r="288" spans="1:12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>
        <f>IF(_xlfn.XLOOKUP(orders!C288,customers!$A:$A,customers!$C:$C,,0)=0,"",_xlfn.XLOOKUP(orders!C288,customers!$A:$A,customers!$C:$C,,0))</f>
        <v>bmergue7y@umn.edu</v>
      </c>
      <c r="H288" s="2" t="str">
        <f>_xlfn.XLOOKUP(C288,customers!$A:$A,customers!$G:$G,,0)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>
        <f>INDEX(products!$A$1:$G$49,MATCH(orders!$D288,products!$A$1:$A$49,0),MATCH(orders!K$1,products!$A$1:$G$1,0))</f>
        <v>0.2</v>
      </c>
      <c r="L288">
        <f>INDEX(products!$A$1:$G$49,MATCH(orders!$D288,products!$A$1:$A$49,0),MATCH(orders!L$1,products!$A$1:$G$1,0))</f>
        <v>3.375</v>
      </c>
    </row>
    <row r="289" spans="1:12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>
        <f>IF(_xlfn.XLOOKUP(orders!C289,customers!$A:$A,customers!$C:$C,,0)=0,"",_xlfn.XLOOKUP(orders!C289,customers!$A:$A,customers!$C:$C,,0))</f>
        <v>kpatise7z@jigsy.com</v>
      </c>
      <c r="H289" s="2" t="str">
        <f>_xlfn.XLOOKUP(C289,customers!$A:$A,customers!$G:$G,,0)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>
        <f>INDEX(products!$A$1:$G$49,MATCH(orders!$D289,products!$A$1:$A$49,0),MATCH(orders!K$1,products!$A$1:$G$1,0))</f>
        <v>0.2</v>
      </c>
      <c r="L289">
        <f>INDEX(products!$A$1:$G$49,MATCH(orders!$D289,products!$A$1:$A$49,0),MATCH(orders!L$1,products!$A$1:$G$1,0))</f>
        <v>3.5849999999999995</v>
      </c>
    </row>
    <row r="290" spans="1:12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 t="str">
        <f>IF(_xlfn.XLOOKUP(orders!C290,customers!$A:$A,customers!$C:$C,,0)=0,"",_xlfn.XLOOKUP(orders!C290,customers!$A:$A,customers!$C:$C,,0))</f>
        <v/>
      </c>
      <c r="H290" s="2" t="str">
        <f>_xlfn.XLOOKUP(C290,customers!$A:$A,customers!$G:$G,,0)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>
        <f>INDEX(products!$A$1:$G$49,MATCH(orders!$D290,products!$A$1:$A$49,0),MATCH(orders!K$1,products!$A$1:$G$1,0))</f>
        <v>0.5</v>
      </c>
      <c r="L290">
        <f>INDEX(products!$A$1:$G$49,MATCH(orders!$D290,products!$A$1:$A$49,0),MATCH(orders!L$1,products!$A$1:$G$1,0))</f>
        <v>8.25</v>
      </c>
    </row>
    <row r="291" spans="1:12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 t="str">
        <f>IF(_xlfn.XLOOKUP(orders!C291,customers!$A:$A,customers!$C:$C,,0)=0,"",_xlfn.XLOOKUP(orders!C291,customers!$A:$A,customers!$C:$C,,0))</f>
        <v/>
      </c>
      <c r="H291" s="2" t="str">
        <f>_xlfn.XLOOKUP(C291,customers!$A:$A,customers!$G:$G,,0)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>
        <f>INDEX(products!$A$1:$G$49,MATCH(orders!$D291,products!$A$1:$A$49,0),MATCH(orders!K$1,products!$A$1:$G$1,0))</f>
        <v>0.2</v>
      </c>
      <c r="L291">
        <f>INDEX(products!$A$1:$G$49,MATCH(orders!$D291,products!$A$1:$A$49,0),MATCH(orders!L$1,products!$A$1:$G$1,0))</f>
        <v>2.6849999999999996</v>
      </c>
    </row>
    <row r="292" spans="1:12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>
        <f>IF(_xlfn.XLOOKUP(orders!C292,customers!$A:$A,customers!$C:$C,,0)=0,"",_xlfn.XLOOKUP(orders!C292,customers!$A:$A,customers!$C:$C,,0))</f>
        <v>dduke82@vkontakte.ru</v>
      </c>
      <c r="H292" s="2" t="str">
        <f>_xlfn.XLOOKUP(C292,customers!$A:$A,customers!$G:$G,,0)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>
        <f>INDEX(products!$A$1:$G$49,MATCH(orders!$D292,products!$A$1:$A$49,0),MATCH(orders!K$1,products!$A$1:$G$1,0))</f>
        <v>1</v>
      </c>
      <c r="L292">
        <f>INDEX(products!$A$1:$G$49,MATCH(orders!$D292,products!$A$1:$A$49,0),MATCH(orders!L$1,products!$A$1:$G$1,0))</f>
        <v>9.9499999999999993</v>
      </c>
    </row>
    <row r="293" spans="1:12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 t="str">
        <f>IF(_xlfn.XLOOKUP(orders!C293,customers!$A:$A,customers!$C:$C,,0)=0,"",_xlfn.XLOOKUP(orders!C293,customers!$A:$A,customers!$C:$C,,0))</f>
        <v/>
      </c>
      <c r="H293" s="2" t="str">
        <f>_xlfn.XLOOKUP(C293,customers!$A:$A,customers!$G:$G,,0)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>
        <f>INDEX(products!$A$1:$G$49,MATCH(orders!$D293,products!$A$1:$A$49,0),MATCH(orders!K$1,products!$A$1:$G$1,0))</f>
        <v>0.5</v>
      </c>
      <c r="L293">
        <f>INDEX(products!$A$1:$G$49,MATCH(orders!$D293,products!$A$1:$A$49,0),MATCH(orders!L$1,products!$A$1:$G$1,0))</f>
        <v>8.25</v>
      </c>
    </row>
    <row r="294" spans="1:12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>
        <f>IF(_xlfn.XLOOKUP(orders!C294,customers!$A:$A,customers!$C:$C,,0)=0,"",_xlfn.XLOOKUP(orders!C294,customers!$A:$A,customers!$C:$C,,0))</f>
        <v>ihussey84@mapy.cz</v>
      </c>
      <c r="H294" s="2" t="str">
        <f>_xlfn.XLOOKUP(C294,customers!$A:$A,customers!$G:$G,,0)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>
        <f>INDEX(products!$A$1:$G$49,MATCH(orders!$D294,products!$A$1:$A$49,0),MATCH(orders!K$1,products!$A$1:$G$1,0))</f>
        <v>0.5</v>
      </c>
      <c r="L294">
        <f>INDEX(products!$A$1:$G$49,MATCH(orders!$D294,products!$A$1:$A$49,0),MATCH(orders!L$1,products!$A$1:$G$1,0))</f>
        <v>5.97</v>
      </c>
    </row>
    <row r="295" spans="1:12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>
        <f>IF(_xlfn.XLOOKUP(orders!C295,customers!$A:$A,customers!$C:$C,,0)=0,"",_xlfn.XLOOKUP(orders!C295,customers!$A:$A,customers!$C:$C,,0))</f>
        <v>cpinkerton85@upenn.edu</v>
      </c>
      <c r="H295" s="2" t="str">
        <f>_xlfn.XLOOKUP(C295,customers!$A:$A,customers!$G:$G,,0)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>
        <f>INDEX(products!$A$1:$G$49,MATCH(orders!$D295,products!$A$1:$A$49,0),MATCH(orders!K$1,products!$A$1:$G$1,0))</f>
        <v>0.5</v>
      </c>
      <c r="L295">
        <f>INDEX(products!$A$1:$G$49,MATCH(orders!$D295,products!$A$1:$A$49,0),MATCH(orders!L$1,products!$A$1:$G$1,0))</f>
        <v>5.97</v>
      </c>
    </row>
    <row r="296" spans="1:12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 t="str">
        <f>IF(_xlfn.XLOOKUP(orders!C296,customers!$A:$A,customers!$C:$C,,0)=0,"",_xlfn.XLOOKUP(orders!C296,customers!$A:$A,customers!$C:$C,,0))</f>
        <v/>
      </c>
      <c r="H296" s="2" t="str">
        <f>_xlfn.XLOOKUP(C296,customers!$A:$A,customers!$G:$G,,0)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>
        <f>INDEX(products!$A$1:$G$49,MATCH(orders!$D296,products!$A$1:$A$49,0),MATCH(orders!K$1,products!$A$1:$G$1,0))</f>
        <v>1</v>
      </c>
      <c r="L296">
        <f>INDEX(products!$A$1:$G$49,MATCH(orders!$D296,products!$A$1:$A$49,0),MATCH(orders!L$1,products!$A$1:$G$1,0))</f>
        <v>14.85</v>
      </c>
    </row>
    <row r="297" spans="1:12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 t="str">
        <f>IF(_xlfn.XLOOKUP(orders!C297,customers!$A:$A,customers!$C:$C,,0)=0,"",_xlfn.XLOOKUP(orders!C297,customers!$A:$A,customers!$C:$C,,0))</f>
        <v/>
      </c>
      <c r="H297" s="2" t="str">
        <f>_xlfn.XLOOKUP(C297,customers!$A:$A,customers!$G:$G,,0)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>
        <f>INDEX(products!$A$1:$G$49,MATCH(orders!$D297,products!$A$1:$A$49,0),MATCH(orders!K$1,products!$A$1:$G$1,0))</f>
        <v>1</v>
      </c>
      <c r="L297">
        <f>INDEX(products!$A$1:$G$49,MATCH(orders!$D297,products!$A$1:$A$49,0),MATCH(orders!L$1,products!$A$1:$G$1,0))</f>
        <v>13.75</v>
      </c>
    </row>
    <row r="298" spans="1:12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>
        <f>IF(_xlfn.XLOOKUP(orders!C298,customers!$A:$A,customers!$C:$C,,0)=0,"",_xlfn.XLOOKUP(orders!C298,customers!$A:$A,customers!$C:$C,,0))</f>
        <v>dvizor88@furl.net</v>
      </c>
      <c r="H298" s="2" t="str">
        <f>_xlfn.XLOOKUP(C298,customers!$A:$A,customers!$G:$G,,0)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>
        <f>INDEX(products!$A$1:$G$49,MATCH(orders!$D298,products!$A$1:$A$49,0),MATCH(orders!K$1,products!$A$1:$G$1,0))</f>
        <v>0.5</v>
      </c>
      <c r="L298">
        <f>INDEX(products!$A$1:$G$49,MATCH(orders!$D298,products!$A$1:$A$49,0),MATCH(orders!L$1,products!$A$1:$G$1,0))</f>
        <v>5.97</v>
      </c>
    </row>
    <row r="299" spans="1:12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>
        <f>IF(_xlfn.XLOOKUP(orders!C299,customers!$A:$A,customers!$C:$C,,0)=0,"",_xlfn.XLOOKUP(orders!C299,customers!$A:$A,customers!$C:$C,,0))</f>
        <v>esedgebeer89@oaic.gov.au</v>
      </c>
      <c r="H299" s="2" t="str">
        <f>_xlfn.XLOOKUP(C299,customers!$A:$A,customers!$G:$G,,0)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>
        <f>INDEX(products!$A$1:$G$49,MATCH(orders!$D299,products!$A$1:$A$49,0),MATCH(orders!K$1,products!$A$1:$G$1,0))</f>
        <v>0.5</v>
      </c>
      <c r="L299">
        <f>INDEX(products!$A$1:$G$49,MATCH(orders!$D299,products!$A$1:$A$49,0),MATCH(orders!L$1,products!$A$1:$G$1,0))</f>
        <v>5.3699999999999992</v>
      </c>
    </row>
    <row r="300" spans="1:12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>
        <f>IF(_xlfn.XLOOKUP(orders!C300,customers!$A:$A,customers!$C:$C,,0)=0,"",_xlfn.XLOOKUP(orders!C300,customers!$A:$A,customers!$C:$C,,0))</f>
        <v>klestrange8a@lulu.com</v>
      </c>
      <c r="H300" s="2" t="str">
        <f>_xlfn.XLOOKUP(C300,customers!$A:$A,customers!$G:$G,,0)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>
        <f>INDEX(products!$A$1:$G$49,MATCH(orders!$D300,products!$A$1:$A$49,0),MATCH(orders!K$1,products!$A$1:$G$1,0))</f>
        <v>0.2</v>
      </c>
      <c r="L300">
        <f>INDEX(products!$A$1:$G$49,MATCH(orders!$D300,products!$A$1:$A$49,0),MATCH(orders!L$1,products!$A$1:$G$1,0))</f>
        <v>4.4550000000000001</v>
      </c>
    </row>
    <row r="301" spans="1:12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>
        <f>IF(_xlfn.XLOOKUP(orders!C301,customers!$A:$A,customers!$C:$C,,0)=0,"",_xlfn.XLOOKUP(orders!C301,customers!$A:$A,customers!$C:$C,,0))</f>
        <v>ltanti8b@techcrunch.com</v>
      </c>
      <c r="H301" s="2" t="str">
        <f>_xlfn.XLOOKUP(C301,customers!$A:$A,customers!$G:$G,,0)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>
        <f>INDEX(products!$A$1:$G$49,MATCH(orders!$D301,products!$A$1:$A$49,0),MATCH(orders!K$1,products!$A$1:$G$1,0))</f>
        <v>2.5</v>
      </c>
      <c r="L301">
        <f>INDEX(products!$A$1:$G$49,MATCH(orders!$D301,products!$A$1:$A$49,0),MATCH(orders!L$1,products!$A$1:$G$1,0))</f>
        <v>34.154999999999994</v>
      </c>
    </row>
    <row r="302" spans="1:12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>
        <f>IF(_xlfn.XLOOKUP(orders!C302,customers!$A:$A,customers!$C:$C,,0)=0,"",_xlfn.XLOOKUP(orders!C302,customers!$A:$A,customers!$C:$C,,0))</f>
        <v>ade8c@1und1.de</v>
      </c>
      <c r="H302" s="2" t="str">
        <f>_xlfn.XLOOKUP(C302,customers!$A:$A,customers!$G:$G,,0)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>
        <f>INDEX(products!$A$1:$G$49,MATCH(orders!$D302,products!$A$1:$A$49,0),MATCH(orders!K$1,products!$A$1:$G$1,0))</f>
        <v>1</v>
      </c>
      <c r="L302">
        <f>INDEX(products!$A$1:$G$49,MATCH(orders!$D302,products!$A$1:$A$49,0),MATCH(orders!L$1,products!$A$1:$G$1,0))</f>
        <v>12.95</v>
      </c>
    </row>
    <row r="303" spans="1:12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>
        <f>IF(_xlfn.XLOOKUP(orders!C303,customers!$A:$A,customers!$C:$C,,0)=0,"",_xlfn.XLOOKUP(orders!C303,customers!$A:$A,customers!$C:$C,,0))</f>
        <v>tjedrachowicz8d@acquirethisname.com</v>
      </c>
      <c r="H303" s="2" t="str">
        <f>_xlfn.XLOOKUP(C303,customers!$A:$A,customers!$G:$G,,0)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>
        <f>INDEX(products!$A$1:$G$49,MATCH(orders!$D303,products!$A$1:$A$49,0),MATCH(orders!K$1,products!$A$1:$G$1,0))</f>
        <v>0.2</v>
      </c>
      <c r="L303">
        <f>INDEX(products!$A$1:$G$49,MATCH(orders!$D303,products!$A$1:$A$49,0),MATCH(orders!L$1,products!$A$1:$G$1,0))</f>
        <v>3.8849999999999998</v>
      </c>
    </row>
    <row r="304" spans="1:12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>
        <f>IF(_xlfn.XLOOKUP(orders!C304,customers!$A:$A,customers!$C:$C,,0)=0,"",_xlfn.XLOOKUP(orders!C304,customers!$A:$A,customers!$C:$C,,0))</f>
        <v>pstonner8e@moonfruit.com</v>
      </c>
      <c r="H304" s="2" t="str">
        <f>_xlfn.XLOOKUP(C304,customers!$A:$A,customers!$G:$G,,0)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>
        <f>INDEX(products!$A$1:$G$49,MATCH(orders!$D304,products!$A$1:$A$49,0),MATCH(orders!K$1,products!$A$1:$G$1,0))</f>
        <v>0.5</v>
      </c>
      <c r="L304">
        <f>INDEX(products!$A$1:$G$49,MATCH(orders!$D304,products!$A$1:$A$49,0),MATCH(orders!L$1,products!$A$1:$G$1,0))</f>
        <v>6.75</v>
      </c>
    </row>
    <row r="305" spans="1:12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>
        <f>IF(_xlfn.XLOOKUP(orders!C305,customers!$A:$A,customers!$C:$C,,0)=0,"",_xlfn.XLOOKUP(orders!C305,customers!$A:$A,customers!$C:$C,,0))</f>
        <v>dtingly8f@goo.ne.jp</v>
      </c>
      <c r="H305" s="2" t="str">
        <f>_xlfn.XLOOKUP(C305,customers!$A:$A,customers!$G:$G,,0)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>
        <f>INDEX(products!$A$1:$G$49,MATCH(orders!$D305,products!$A$1:$A$49,0),MATCH(orders!K$1,products!$A$1:$G$1,0))</f>
        <v>2.5</v>
      </c>
      <c r="L305">
        <f>INDEX(products!$A$1:$G$49,MATCH(orders!$D305,products!$A$1:$A$49,0),MATCH(orders!L$1,products!$A$1:$G$1,0))</f>
        <v>27.945</v>
      </c>
    </row>
    <row r="306" spans="1:12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>
        <f>IF(_xlfn.XLOOKUP(orders!C306,customers!$A:$A,customers!$C:$C,,0)=0,"",_xlfn.XLOOKUP(orders!C306,customers!$A:$A,customers!$C:$C,,0))</f>
        <v>crushe8n@about.me</v>
      </c>
      <c r="H306" s="2" t="str">
        <f>_xlfn.XLOOKUP(C306,customers!$A:$A,customers!$G:$G,,0)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>
        <f>INDEX(products!$A$1:$G$49,MATCH(orders!$D306,products!$A$1:$A$49,0),MATCH(orders!K$1,products!$A$1:$G$1,0))</f>
        <v>0.2</v>
      </c>
      <c r="L306">
        <f>INDEX(products!$A$1:$G$49,MATCH(orders!$D306,products!$A$1:$A$49,0),MATCH(orders!L$1,products!$A$1:$G$1,0))</f>
        <v>3.8849999999999998</v>
      </c>
    </row>
    <row r="307" spans="1:12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>
        <f>IF(_xlfn.XLOOKUP(orders!C307,customers!$A:$A,customers!$C:$C,,0)=0,"",_xlfn.XLOOKUP(orders!C307,customers!$A:$A,customers!$C:$C,,0))</f>
        <v>bchecci8h@usa.gov</v>
      </c>
      <c r="H307" s="2" t="str">
        <f>_xlfn.XLOOKUP(C307,customers!$A:$A,customers!$G:$G,,0)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>
        <f>INDEX(products!$A$1:$G$49,MATCH(orders!$D307,products!$A$1:$A$49,0),MATCH(orders!K$1,products!$A$1:$G$1,0))</f>
        <v>0.2</v>
      </c>
      <c r="L307">
        <f>INDEX(products!$A$1:$G$49,MATCH(orders!$D307,products!$A$1:$A$49,0),MATCH(orders!L$1,products!$A$1:$G$1,0))</f>
        <v>4.3650000000000002</v>
      </c>
    </row>
    <row r="308" spans="1:12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>
        <f>IF(_xlfn.XLOOKUP(orders!C308,customers!$A:$A,customers!$C:$C,,0)=0,"",_xlfn.XLOOKUP(orders!C308,customers!$A:$A,customers!$C:$C,,0))</f>
        <v>jbagot8i@mac.com</v>
      </c>
      <c r="H308" s="2" t="str">
        <f>_xlfn.XLOOKUP(C308,customers!$A:$A,customers!$G:$G,,0)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>
        <f>INDEX(products!$A$1:$G$49,MATCH(orders!$D308,products!$A$1:$A$49,0),MATCH(orders!K$1,products!$A$1:$G$1,0))</f>
        <v>0.2</v>
      </c>
      <c r="L308">
        <f>INDEX(products!$A$1:$G$49,MATCH(orders!$D308,products!$A$1:$A$49,0),MATCH(orders!L$1,products!$A$1:$G$1,0))</f>
        <v>2.9849999999999999</v>
      </c>
    </row>
    <row r="309" spans="1:12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>
        <f>IF(_xlfn.XLOOKUP(orders!C309,customers!$A:$A,customers!$C:$C,,0)=0,"",_xlfn.XLOOKUP(orders!C309,customers!$A:$A,customers!$C:$C,,0))</f>
        <v>ebeeble8j@soundcloud.com</v>
      </c>
      <c r="H309" s="2" t="str">
        <f>_xlfn.XLOOKUP(C309,customers!$A:$A,customers!$G:$G,,0)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>
        <f>INDEX(products!$A$1:$G$49,MATCH(orders!$D309,products!$A$1:$A$49,0),MATCH(orders!K$1,products!$A$1:$G$1,0))</f>
        <v>1</v>
      </c>
      <c r="L309">
        <f>INDEX(products!$A$1:$G$49,MATCH(orders!$D309,products!$A$1:$A$49,0),MATCH(orders!L$1,products!$A$1:$G$1,0))</f>
        <v>11.25</v>
      </c>
    </row>
    <row r="310" spans="1:12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>
        <f>IF(_xlfn.XLOOKUP(orders!C310,customers!$A:$A,customers!$C:$C,,0)=0,"",_xlfn.XLOOKUP(orders!C310,customers!$A:$A,customers!$C:$C,,0))</f>
        <v>cfluin8k@flickr.com</v>
      </c>
      <c r="H310" s="2" t="str">
        <f>_xlfn.XLOOKUP(C310,customers!$A:$A,customers!$G:$G,,0)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>
        <f>INDEX(products!$A$1:$G$49,MATCH(orders!$D310,products!$A$1:$A$49,0),MATCH(orders!K$1,products!$A$1:$G$1,0))</f>
        <v>1</v>
      </c>
      <c r="L310">
        <f>INDEX(products!$A$1:$G$49,MATCH(orders!$D310,products!$A$1:$A$49,0),MATCH(orders!L$1,products!$A$1:$G$1,0))</f>
        <v>11.25</v>
      </c>
    </row>
    <row r="311" spans="1:12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>
        <f>IF(_xlfn.XLOOKUP(orders!C311,customers!$A:$A,customers!$C:$C,,0)=0,"",_xlfn.XLOOKUP(orders!C311,customers!$A:$A,customers!$C:$C,,0))</f>
        <v>ebletsor8l@vinaora.com</v>
      </c>
      <c r="H311" s="2" t="str">
        <f>_xlfn.XLOOKUP(C311,customers!$A:$A,customers!$G:$G,,0)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>
        <f>INDEX(products!$A$1:$G$49,MATCH(orders!$D311,products!$A$1:$A$49,0),MATCH(orders!K$1,products!$A$1:$G$1,0))</f>
        <v>0.2</v>
      </c>
      <c r="L311">
        <f>INDEX(products!$A$1:$G$49,MATCH(orders!$D311,products!$A$1:$A$49,0),MATCH(orders!L$1,products!$A$1:$G$1,0))</f>
        <v>4.3650000000000002</v>
      </c>
    </row>
    <row r="312" spans="1:12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>
        <f>IF(_xlfn.XLOOKUP(orders!C312,customers!$A:$A,customers!$C:$C,,0)=0,"",_xlfn.XLOOKUP(orders!C312,customers!$A:$A,customers!$C:$C,,0))</f>
        <v>pbrydell8m@bloglovin.com</v>
      </c>
      <c r="H312" s="2" t="str">
        <f>_xlfn.XLOOKUP(C312,customers!$A:$A,customers!$G:$G,,0)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>
        <f>INDEX(products!$A$1:$G$49,MATCH(orders!$D312,products!$A$1:$A$49,0),MATCH(orders!K$1,products!$A$1:$G$1,0))</f>
        <v>1</v>
      </c>
      <c r="L312">
        <f>INDEX(products!$A$1:$G$49,MATCH(orders!$D312,products!$A$1:$A$49,0),MATCH(orders!L$1,products!$A$1:$G$1,0))</f>
        <v>14.85</v>
      </c>
    </row>
    <row r="313" spans="1:12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>
        <f>IF(_xlfn.XLOOKUP(orders!C313,customers!$A:$A,customers!$C:$C,,0)=0,"",_xlfn.XLOOKUP(orders!C313,customers!$A:$A,customers!$C:$C,,0))</f>
        <v>crushe8n@about.me</v>
      </c>
      <c r="H313" s="2" t="str">
        <f>_xlfn.XLOOKUP(C313,customers!$A:$A,customers!$G:$G,,0)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>
        <f>INDEX(products!$A$1:$G$49,MATCH(orders!$D313,products!$A$1:$A$49,0),MATCH(orders!K$1,products!$A$1:$G$1,0))</f>
        <v>2.5</v>
      </c>
      <c r="L313">
        <f>INDEX(products!$A$1:$G$49,MATCH(orders!$D313,products!$A$1:$A$49,0),MATCH(orders!L$1,products!$A$1:$G$1,0))</f>
        <v>31.624999999999996</v>
      </c>
    </row>
    <row r="314" spans="1:12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>
        <f>IF(_xlfn.XLOOKUP(orders!C314,customers!$A:$A,customers!$C:$C,,0)=0,"",_xlfn.XLOOKUP(orders!C314,customers!$A:$A,customers!$C:$C,,0))</f>
        <v>nleethem8o@mac.com</v>
      </c>
      <c r="H314" s="2" t="str">
        <f>_xlfn.XLOOKUP(C314,customers!$A:$A,customers!$G:$G,,0)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>
        <f>INDEX(products!$A$1:$G$49,MATCH(orders!$D314,products!$A$1:$A$49,0),MATCH(orders!K$1,products!$A$1:$G$1,0))</f>
        <v>0.5</v>
      </c>
      <c r="L314">
        <f>INDEX(products!$A$1:$G$49,MATCH(orders!$D314,products!$A$1:$A$49,0),MATCH(orders!L$1,products!$A$1:$G$1,0))</f>
        <v>5.97</v>
      </c>
    </row>
    <row r="315" spans="1:12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>
        <f>IF(_xlfn.XLOOKUP(orders!C315,customers!$A:$A,customers!$C:$C,,0)=0,"",_xlfn.XLOOKUP(orders!C315,customers!$A:$A,customers!$C:$C,,0))</f>
        <v>anesfield8p@people.com.cn</v>
      </c>
      <c r="H315" s="2" t="str">
        <f>_xlfn.XLOOKUP(C315,customers!$A:$A,customers!$G:$G,,0)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>
        <f>INDEX(products!$A$1:$G$49,MATCH(orders!$D315,products!$A$1:$A$49,0),MATCH(orders!K$1,products!$A$1:$G$1,0))</f>
        <v>1</v>
      </c>
      <c r="L315">
        <f>INDEX(products!$A$1:$G$49,MATCH(orders!$D315,products!$A$1:$A$49,0),MATCH(orders!L$1,products!$A$1:$G$1,0))</f>
        <v>9.9499999999999993</v>
      </c>
    </row>
    <row r="316" spans="1:12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 t="str">
        <f>IF(_xlfn.XLOOKUP(orders!C316,customers!$A:$A,customers!$C:$C,,0)=0,"",_xlfn.XLOOKUP(orders!C316,customers!$A:$A,customers!$C:$C,,0))</f>
        <v/>
      </c>
      <c r="H316" s="2" t="str">
        <f>_xlfn.XLOOKUP(C316,customers!$A:$A,customers!$G:$G,,0)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>
        <f>INDEX(products!$A$1:$G$49,MATCH(orders!$D316,products!$A$1:$A$49,0),MATCH(orders!K$1,products!$A$1:$G$1,0))</f>
        <v>1</v>
      </c>
      <c r="L316">
        <f>INDEX(products!$A$1:$G$49,MATCH(orders!$D316,products!$A$1:$A$49,0),MATCH(orders!L$1,products!$A$1:$G$1,0))</f>
        <v>8.9499999999999993</v>
      </c>
    </row>
    <row r="317" spans="1:12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>
        <f>IF(_xlfn.XLOOKUP(orders!C317,customers!$A:$A,customers!$C:$C,,0)=0,"",_xlfn.XLOOKUP(orders!C317,customers!$A:$A,customers!$C:$C,,0))</f>
        <v>mbrockway8r@ibm.com</v>
      </c>
      <c r="H317" s="2" t="str">
        <f>_xlfn.XLOOKUP(C317,customers!$A:$A,customers!$G:$G,,0)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>
        <f>INDEX(products!$A$1:$G$49,MATCH(orders!$D317,products!$A$1:$A$49,0),MATCH(orders!K$1,products!$A$1:$G$1,0))</f>
        <v>2.5</v>
      </c>
      <c r="L317">
        <f>INDEX(products!$A$1:$G$49,MATCH(orders!$D317,products!$A$1:$A$49,0),MATCH(orders!L$1,products!$A$1:$G$1,0))</f>
        <v>34.154999999999994</v>
      </c>
    </row>
    <row r="318" spans="1:12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>
        <f>IF(_xlfn.XLOOKUP(orders!C318,customers!$A:$A,customers!$C:$C,,0)=0,"",_xlfn.XLOOKUP(orders!C318,customers!$A:$A,customers!$C:$C,,0))</f>
        <v>nlush8s@dedecms.com</v>
      </c>
      <c r="H318" s="2" t="str">
        <f>_xlfn.XLOOKUP(C318,customers!$A:$A,customers!$G:$G,,0)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>
        <f>INDEX(products!$A$1:$G$49,MATCH(orders!$D318,products!$A$1:$A$49,0),MATCH(orders!K$1,products!$A$1:$G$1,0))</f>
        <v>2.5</v>
      </c>
      <c r="L318">
        <f>INDEX(products!$A$1:$G$49,MATCH(orders!$D318,products!$A$1:$A$49,0),MATCH(orders!L$1,products!$A$1:$G$1,0))</f>
        <v>34.154999999999994</v>
      </c>
    </row>
    <row r="319" spans="1:12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>
        <f>IF(_xlfn.XLOOKUP(orders!C319,customers!$A:$A,customers!$C:$C,,0)=0,"",_xlfn.XLOOKUP(orders!C319,customers!$A:$A,customers!$C:$C,,0))</f>
        <v>smcmillian8t@csmonitor.com</v>
      </c>
      <c r="H319" s="2" t="str">
        <f>_xlfn.XLOOKUP(C319,customers!$A:$A,customers!$G:$G,,0)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>
        <f>INDEX(products!$A$1:$G$49,MATCH(orders!$D319,products!$A$1:$A$49,0),MATCH(orders!K$1,products!$A$1:$G$1,0))</f>
        <v>0.5</v>
      </c>
      <c r="L319">
        <f>INDEX(products!$A$1:$G$49,MATCH(orders!$D319,products!$A$1:$A$49,0),MATCH(orders!L$1,products!$A$1:$G$1,0))</f>
        <v>7.29</v>
      </c>
    </row>
    <row r="320" spans="1:12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>
        <f>IF(_xlfn.XLOOKUP(orders!C320,customers!$A:$A,customers!$C:$C,,0)=0,"",_xlfn.XLOOKUP(orders!C320,customers!$A:$A,customers!$C:$C,,0))</f>
        <v>tbennison8u@google.cn</v>
      </c>
      <c r="H320" s="2" t="str">
        <f>_xlfn.XLOOKUP(C320,customers!$A:$A,customers!$G:$G,,0)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>
        <f>INDEX(products!$A$1:$G$49,MATCH(orders!$D320,products!$A$1:$A$49,0),MATCH(orders!K$1,products!$A$1:$G$1,0))</f>
        <v>2.5</v>
      </c>
      <c r="L320">
        <f>INDEX(products!$A$1:$G$49,MATCH(orders!$D320,products!$A$1:$A$49,0),MATCH(orders!L$1,products!$A$1:$G$1,0))</f>
        <v>25.874999999999996</v>
      </c>
    </row>
    <row r="321" spans="1:12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>
        <f>IF(_xlfn.XLOOKUP(orders!C321,customers!$A:$A,customers!$C:$C,,0)=0,"",_xlfn.XLOOKUP(orders!C321,customers!$A:$A,customers!$C:$C,,0))</f>
        <v>gtweed8v@yolasite.com</v>
      </c>
      <c r="H321" s="2" t="str">
        <f>_xlfn.XLOOKUP(C321,customers!$A:$A,customers!$G:$G,,0)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>
        <f>INDEX(products!$A$1:$G$49,MATCH(orders!$D321,products!$A$1:$A$49,0),MATCH(orders!K$1,products!$A$1:$G$1,0))</f>
        <v>0.2</v>
      </c>
      <c r="L321">
        <f>INDEX(products!$A$1:$G$49,MATCH(orders!$D321,products!$A$1:$A$49,0),MATCH(orders!L$1,products!$A$1:$G$1,0))</f>
        <v>4.125</v>
      </c>
    </row>
    <row r="322" spans="1:12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>
        <f>IF(_xlfn.XLOOKUP(orders!C322,customers!$A:$A,customers!$C:$C,,0)=0,"",_xlfn.XLOOKUP(orders!C322,customers!$A:$A,customers!$C:$C,,0))</f>
        <v>gtweed8v@yolasite.com</v>
      </c>
      <c r="H322" s="2" t="str">
        <f>_xlfn.XLOOKUP(C322,customers!$A:$A,customers!$G:$G,,0)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>
        <f>INDEX(products!$A$1:$G$49,MATCH(orders!$D322,products!$A$1:$A$49,0),MATCH(orders!K$1,products!$A$1:$G$1,0))</f>
        <v>0.2</v>
      </c>
      <c r="L322">
        <f>INDEX(products!$A$1:$G$49,MATCH(orders!$D322,products!$A$1:$A$49,0),MATCH(orders!L$1,products!$A$1:$G$1,0))</f>
        <v>3.8849999999999998</v>
      </c>
    </row>
    <row r="323" spans="1:12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>
        <f>IF(_xlfn.XLOOKUP(orders!C323,customers!$A:$A,customers!$C:$C,,0)=0,"",_xlfn.XLOOKUP(orders!C323,customers!$A:$A,customers!$C:$C,,0))</f>
        <v>ggoggin8x@wix.com</v>
      </c>
      <c r="H323" s="2" t="str">
        <f>_xlfn.XLOOKUP(C323,customers!$A:$A,customers!$G:$G,,0)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>
        <f>INDEX(products!$A$1:$G$49,MATCH(orders!$D323,products!$A$1:$A$49,0),MATCH(orders!K$1,products!$A$1:$G$1,0))</f>
        <v>0.2</v>
      </c>
      <c r="L323">
        <f>INDEX(products!$A$1:$G$49,MATCH(orders!$D323,products!$A$1:$A$49,0),MATCH(orders!L$1,products!$A$1:$G$1,0))</f>
        <v>3.375</v>
      </c>
    </row>
    <row r="324" spans="1:12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>
        <f>IF(_xlfn.XLOOKUP(orders!C324,customers!$A:$A,customers!$C:$C,,0)=0,"",_xlfn.XLOOKUP(orders!C324,customers!$A:$A,customers!$C:$C,,0))</f>
        <v>sjeyness8y@biglobe.ne.jp</v>
      </c>
      <c r="H324" s="2" t="str">
        <f>_xlfn.XLOOKUP(C324,customers!$A:$A,customers!$G:$G,,0)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>
        <f>INDEX(products!$A$1:$G$49,MATCH(orders!$D324,products!$A$1:$A$49,0),MATCH(orders!K$1,products!$A$1:$G$1,0))</f>
        <v>0.5</v>
      </c>
      <c r="L324">
        <f>INDEX(products!$A$1:$G$49,MATCH(orders!$D324,products!$A$1:$A$49,0),MATCH(orders!L$1,products!$A$1:$G$1,0))</f>
        <v>7.77</v>
      </c>
    </row>
    <row r="325" spans="1:12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>
        <f>IF(_xlfn.XLOOKUP(orders!C325,customers!$A:$A,customers!$C:$C,,0)=0,"",_xlfn.XLOOKUP(orders!C325,customers!$A:$A,customers!$C:$C,,0))</f>
        <v>dbonhome8z@shinystat.com</v>
      </c>
      <c r="H325" s="2" t="str">
        <f>_xlfn.XLOOKUP(C325,customers!$A:$A,customers!$G:$G,,0)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>
        <f>INDEX(products!$A$1:$G$49,MATCH(orders!$D325,products!$A$1:$A$49,0),MATCH(orders!K$1,products!$A$1:$G$1,0))</f>
        <v>0.2</v>
      </c>
      <c r="L325">
        <f>INDEX(products!$A$1:$G$49,MATCH(orders!$D325,products!$A$1:$A$49,0),MATCH(orders!L$1,products!$A$1:$G$1,0))</f>
        <v>3.645</v>
      </c>
    </row>
    <row r="326" spans="1:12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 t="str">
        <f>IF(_xlfn.XLOOKUP(orders!C326,customers!$A:$A,customers!$C:$C,,0)=0,"",_xlfn.XLOOKUP(orders!C326,customers!$A:$A,customers!$C:$C,,0))</f>
        <v/>
      </c>
      <c r="H326" s="2" t="str">
        <f>_xlfn.XLOOKUP(C326,customers!$A:$A,customers!$G:$G,,0)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>
        <f>INDEX(products!$A$1:$G$49,MATCH(orders!$D326,products!$A$1:$A$49,0),MATCH(orders!K$1,products!$A$1:$G$1,0))</f>
        <v>1</v>
      </c>
      <c r="L326">
        <f>INDEX(products!$A$1:$G$49,MATCH(orders!$D326,products!$A$1:$A$49,0),MATCH(orders!L$1,products!$A$1:$G$1,0))</f>
        <v>13.75</v>
      </c>
    </row>
    <row r="327" spans="1:12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>
        <f>IF(_xlfn.XLOOKUP(orders!C327,customers!$A:$A,customers!$C:$C,,0)=0,"",_xlfn.XLOOKUP(orders!C327,customers!$A:$A,customers!$C:$C,,0))</f>
        <v>tle91@epa.gov</v>
      </c>
      <c r="H327" s="2" t="str">
        <f>_xlfn.XLOOKUP(C327,customers!$A:$A,customers!$G:$G,,0)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>
        <f>INDEX(products!$A$1:$G$49,MATCH(orders!$D327,products!$A$1:$A$49,0),MATCH(orders!K$1,products!$A$1:$G$1,0))</f>
        <v>2.5</v>
      </c>
      <c r="L327">
        <f>INDEX(products!$A$1:$G$49,MATCH(orders!$D327,products!$A$1:$A$49,0),MATCH(orders!L$1,products!$A$1:$G$1,0))</f>
        <v>29.784999999999997</v>
      </c>
    </row>
    <row r="328" spans="1:12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 t="str">
        <f>IF(_xlfn.XLOOKUP(orders!C328,customers!$A:$A,customers!$C:$C,,0)=0,"",_xlfn.XLOOKUP(orders!C328,customers!$A:$A,customers!$C:$C,,0))</f>
        <v/>
      </c>
      <c r="H328" s="2" t="str">
        <f>_xlfn.XLOOKUP(C328,customers!$A:$A,customers!$G:$G,,0)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>
        <f>INDEX(products!$A$1:$G$49,MATCH(orders!$D328,products!$A$1:$A$49,0),MATCH(orders!K$1,products!$A$1:$G$1,0))</f>
        <v>1</v>
      </c>
      <c r="L328">
        <f>INDEX(products!$A$1:$G$49,MATCH(orders!$D328,products!$A$1:$A$49,0),MATCH(orders!L$1,products!$A$1:$G$1,0))</f>
        <v>8.9499999999999993</v>
      </c>
    </row>
    <row r="329" spans="1:12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>
        <f>IF(_xlfn.XLOOKUP(orders!C329,customers!$A:$A,customers!$C:$C,,0)=0,"",_xlfn.XLOOKUP(orders!C329,customers!$A:$A,customers!$C:$C,,0))</f>
        <v>balldridge93@yandex.ru</v>
      </c>
      <c r="H329" s="2" t="str">
        <f>_xlfn.XLOOKUP(C329,customers!$A:$A,customers!$G:$G,,0)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>
        <f>INDEX(products!$A$1:$G$49,MATCH(orders!$D329,products!$A$1:$A$49,0),MATCH(orders!K$1,products!$A$1:$G$1,0))</f>
        <v>1</v>
      </c>
      <c r="L329">
        <f>INDEX(products!$A$1:$G$49,MATCH(orders!$D329,products!$A$1:$A$49,0),MATCH(orders!L$1,products!$A$1:$G$1,0))</f>
        <v>8.9499999999999993</v>
      </c>
    </row>
    <row r="330" spans="1:12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 t="str">
        <f>IF(_xlfn.XLOOKUP(orders!C330,customers!$A:$A,customers!$C:$C,,0)=0,"",_xlfn.XLOOKUP(orders!C330,customers!$A:$A,customers!$C:$C,,0))</f>
        <v/>
      </c>
      <c r="H330" s="2" t="str">
        <f>_xlfn.XLOOKUP(C330,customers!$A:$A,customers!$G:$G,,0)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>
        <f>INDEX(products!$A$1:$G$49,MATCH(orders!$D330,products!$A$1:$A$49,0),MATCH(orders!K$1,products!$A$1:$G$1,0))</f>
        <v>0.5</v>
      </c>
      <c r="L330">
        <f>INDEX(products!$A$1:$G$49,MATCH(orders!$D330,products!$A$1:$A$49,0),MATCH(orders!L$1,products!$A$1:$G$1,0))</f>
        <v>9.51</v>
      </c>
    </row>
    <row r="331" spans="1:12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>
        <f>IF(_xlfn.XLOOKUP(orders!C331,customers!$A:$A,customers!$C:$C,,0)=0,"",_xlfn.XLOOKUP(orders!C331,customers!$A:$A,customers!$C:$C,,0))</f>
        <v>lgoodger95@guardian.co.uk</v>
      </c>
      <c r="H331" s="2" t="str">
        <f>_xlfn.XLOOKUP(C331,customers!$A:$A,customers!$G:$G,,0)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>
        <f>INDEX(products!$A$1:$G$49,MATCH(orders!$D331,products!$A$1:$A$49,0),MATCH(orders!K$1,products!$A$1:$G$1,0))</f>
        <v>0.5</v>
      </c>
      <c r="L331">
        <f>INDEX(products!$A$1:$G$49,MATCH(orders!$D331,products!$A$1:$A$49,0),MATCH(orders!L$1,products!$A$1:$G$1,0))</f>
        <v>5.3699999999999992</v>
      </c>
    </row>
    <row r="332" spans="1:12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>
        <f>IF(_xlfn.XLOOKUP(orders!C332,customers!$A:$A,customers!$C:$C,,0)=0,"",_xlfn.XLOOKUP(orders!C332,customers!$A:$A,customers!$C:$C,,0))</f>
        <v>smcmillian8t@csmonitor.com</v>
      </c>
      <c r="H332" s="2" t="str">
        <f>_xlfn.XLOOKUP(C332,customers!$A:$A,customers!$G:$G,,0)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>
        <f>INDEX(products!$A$1:$G$49,MATCH(orders!$D332,products!$A$1:$A$49,0),MATCH(orders!K$1,products!$A$1:$G$1,0))</f>
        <v>0.5</v>
      </c>
      <c r="L332">
        <f>INDEX(products!$A$1:$G$49,MATCH(orders!$D332,products!$A$1:$A$49,0),MATCH(orders!L$1,products!$A$1:$G$1,0))</f>
        <v>5.3699999999999992</v>
      </c>
    </row>
    <row r="333" spans="1:12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>
        <f>IF(_xlfn.XLOOKUP(orders!C333,customers!$A:$A,customers!$C:$C,,0)=0,"",_xlfn.XLOOKUP(orders!C333,customers!$A:$A,customers!$C:$C,,0))</f>
        <v>cdrewett97@wikipedia.org</v>
      </c>
      <c r="H333" s="2" t="str">
        <f>_xlfn.XLOOKUP(C333,customers!$A:$A,customers!$G:$G,,0)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>
        <f>INDEX(products!$A$1:$G$49,MATCH(orders!$D333,products!$A$1:$A$49,0),MATCH(orders!K$1,products!$A$1:$G$1,0))</f>
        <v>2.5</v>
      </c>
      <c r="L333">
        <f>INDEX(products!$A$1:$G$49,MATCH(orders!$D333,products!$A$1:$A$49,0),MATCH(orders!L$1,products!$A$1:$G$1,0))</f>
        <v>22.884999999999998</v>
      </c>
    </row>
    <row r="334" spans="1:12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>
        <f>IF(_xlfn.XLOOKUP(orders!C334,customers!$A:$A,customers!$C:$C,,0)=0,"",_xlfn.XLOOKUP(orders!C334,customers!$A:$A,customers!$C:$C,,0))</f>
        <v>qparsons98@blogtalkradio.com</v>
      </c>
      <c r="H334" s="2" t="str">
        <f>_xlfn.XLOOKUP(C334,customers!$A:$A,customers!$G:$G,,0)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>
        <f>INDEX(products!$A$1:$G$49,MATCH(orders!$D334,products!$A$1:$A$49,0),MATCH(orders!K$1,products!$A$1:$G$1,0))</f>
        <v>0.5</v>
      </c>
      <c r="L334">
        <f>INDEX(products!$A$1:$G$49,MATCH(orders!$D334,products!$A$1:$A$49,0),MATCH(orders!L$1,products!$A$1:$G$1,0))</f>
        <v>5.97</v>
      </c>
    </row>
    <row r="335" spans="1:12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>
        <f>IF(_xlfn.XLOOKUP(orders!C335,customers!$A:$A,customers!$C:$C,,0)=0,"",_xlfn.XLOOKUP(orders!C335,customers!$A:$A,customers!$C:$C,,0))</f>
        <v>vceely99@auda.org.au</v>
      </c>
      <c r="H335" s="2" t="str">
        <f>_xlfn.XLOOKUP(C335,customers!$A:$A,customers!$G:$G,,0)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>
        <f>INDEX(products!$A$1:$G$49,MATCH(orders!$D335,products!$A$1:$A$49,0),MATCH(orders!K$1,products!$A$1:$G$1,0))</f>
        <v>0.5</v>
      </c>
      <c r="L335">
        <f>INDEX(products!$A$1:$G$49,MATCH(orders!$D335,products!$A$1:$A$49,0),MATCH(orders!L$1,products!$A$1:$G$1,0))</f>
        <v>5.97</v>
      </c>
    </row>
    <row r="336" spans="1:12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 t="str">
        <f>IF(_xlfn.XLOOKUP(orders!C336,customers!$A:$A,customers!$C:$C,,0)=0,"",_xlfn.XLOOKUP(orders!C336,customers!$A:$A,customers!$C:$C,,0))</f>
        <v/>
      </c>
      <c r="H336" s="2" t="str">
        <f>_xlfn.XLOOKUP(C336,customers!$A:$A,customers!$G:$G,,0)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>
        <f>INDEX(products!$A$1:$G$49,MATCH(orders!$D336,products!$A$1:$A$49,0),MATCH(orders!K$1,products!$A$1:$G$1,0))</f>
        <v>1</v>
      </c>
      <c r="L336">
        <f>INDEX(products!$A$1:$G$49,MATCH(orders!$D336,products!$A$1:$A$49,0),MATCH(orders!L$1,products!$A$1:$G$1,0))</f>
        <v>11.95</v>
      </c>
    </row>
    <row r="337" spans="1:12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>
        <f>IF(_xlfn.XLOOKUP(orders!C337,customers!$A:$A,customers!$C:$C,,0)=0,"",_xlfn.XLOOKUP(orders!C337,customers!$A:$A,customers!$C:$C,,0))</f>
        <v>cvasiliev9b@discuz.net</v>
      </c>
      <c r="H337" s="2" t="str">
        <f>_xlfn.XLOOKUP(C337,customers!$A:$A,customers!$G:$G,,0)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>
        <f>INDEX(products!$A$1:$G$49,MATCH(orders!$D337,products!$A$1:$A$49,0),MATCH(orders!K$1,products!$A$1:$G$1,0))</f>
        <v>0.2</v>
      </c>
      <c r="L337">
        <f>INDEX(products!$A$1:$G$49,MATCH(orders!$D337,products!$A$1:$A$49,0),MATCH(orders!L$1,products!$A$1:$G$1,0))</f>
        <v>4.7549999999999999</v>
      </c>
    </row>
    <row r="338" spans="1:12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>
        <f>IF(_xlfn.XLOOKUP(orders!C338,customers!$A:$A,customers!$C:$C,,0)=0,"",_xlfn.XLOOKUP(orders!C338,customers!$A:$A,customers!$C:$C,,0))</f>
        <v>tomoylan9c@liveinternet.ru</v>
      </c>
      <c r="H338" s="2" t="str">
        <f>_xlfn.XLOOKUP(C338,customers!$A:$A,customers!$G:$G,,0)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>
        <f>INDEX(products!$A$1:$G$49,MATCH(orders!$D338,products!$A$1:$A$49,0),MATCH(orders!K$1,products!$A$1:$G$1,0))</f>
        <v>1</v>
      </c>
      <c r="L338">
        <f>INDEX(products!$A$1:$G$49,MATCH(orders!$D338,products!$A$1:$A$49,0),MATCH(orders!L$1,products!$A$1:$G$1,0))</f>
        <v>11.25</v>
      </c>
    </row>
    <row r="339" spans="1:12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 t="str">
        <f>IF(_xlfn.XLOOKUP(orders!C339,customers!$A:$A,customers!$C:$C,,0)=0,"",_xlfn.XLOOKUP(orders!C339,customers!$A:$A,customers!$C:$C,,0))</f>
        <v/>
      </c>
      <c r="H339" s="2" t="str">
        <f>_xlfn.XLOOKUP(C339,customers!$A:$A,customers!$G:$G,,0)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>
        <f>INDEX(products!$A$1:$G$49,MATCH(orders!$D339,products!$A$1:$A$49,0),MATCH(orders!K$1,products!$A$1:$G$1,0))</f>
        <v>2.5</v>
      </c>
      <c r="L339">
        <f>INDEX(products!$A$1:$G$49,MATCH(orders!$D339,products!$A$1:$A$49,0),MATCH(orders!L$1,products!$A$1:$G$1,0))</f>
        <v>27.945</v>
      </c>
    </row>
    <row r="340" spans="1:12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>
        <f>IF(_xlfn.XLOOKUP(orders!C340,customers!$A:$A,customers!$C:$C,,0)=0,"",_xlfn.XLOOKUP(orders!C340,customers!$A:$A,customers!$C:$C,,0))</f>
        <v>wfetherston9e@constantcontact.com</v>
      </c>
      <c r="H340" s="2" t="str">
        <f>_xlfn.XLOOKUP(C340,customers!$A:$A,customers!$G:$G,,0)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>
        <f>INDEX(products!$A$1:$G$49,MATCH(orders!$D340,products!$A$1:$A$49,0),MATCH(orders!K$1,products!$A$1:$G$1,0))</f>
        <v>1</v>
      </c>
      <c r="L340">
        <f>INDEX(products!$A$1:$G$49,MATCH(orders!$D340,products!$A$1:$A$49,0),MATCH(orders!L$1,products!$A$1:$G$1,0))</f>
        <v>14.85</v>
      </c>
    </row>
    <row r="341" spans="1:12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>
        <f>IF(_xlfn.XLOOKUP(orders!C341,customers!$A:$A,customers!$C:$C,,0)=0,"",_xlfn.XLOOKUP(orders!C341,customers!$A:$A,customers!$C:$C,,0))</f>
        <v>erasmus9f@techcrunch.com</v>
      </c>
      <c r="H341" s="2" t="str">
        <f>_xlfn.XLOOKUP(C341,customers!$A:$A,customers!$G:$G,,0)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>
        <f>INDEX(products!$A$1:$G$49,MATCH(orders!$D341,products!$A$1:$A$49,0),MATCH(orders!K$1,products!$A$1:$G$1,0))</f>
        <v>0.2</v>
      </c>
      <c r="L341">
        <f>INDEX(products!$A$1:$G$49,MATCH(orders!$D341,products!$A$1:$A$49,0),MATCH(orders!L$1,products!$A$1:$G$1,0))</f>
        <v>3.645</v>
      </c>
    </row>
    <row r="342" spans="1:12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>
        <f>IF(_xlfn.XLOOKUP(orders!C342,customers!$A:$A,customers!$C:$C,,0)=0,"",_xlfn.XLOOKUP(orders!C342,customers!$A:$A,customers!$C:$C,,0))</f>
        <v>wgiorgioni9g@wikipedia.org</v>
      </c>
      <c r="H342" s="2" t="str">
        <f>_xlfn.XLOOKUP(C342,customers!$A:$A,customers!$G:$G,,0)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>
        <f>INDEX(products!$A$1:$G$49,MATCH(orders!$D342,products!$A$1:$A$49,0),MATCH(orders!K$1,products!$A$1:$G$1,0))</f>
        <v>0.5</v>
      </c>
      <c r="L342">
        <f>INDEX(products!$A$1:$G$49,MATCH(orders!$D342,products!$A$1:$A$49,0),MATCH(orders!L$1,products!$A$1:$G$1,0))</f>
        <v>7.29</v>
      </c>
    </row>
    <row r="343" spans="1:12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>
        <f>IF(_xlfn.XLOOKUP(orders!C343,customers!$A:$A,customers!$C:$C,,0)=0,"",_xlfn.XLOOKUP(orders!C343,customers!$A:$A,customers!$C:$C,,0))</f>
        <v>lscargle9h@myspace.com</v>
      </c>
      <c r="H343" s="2" t="str">
        <f>_xlfn.XLOOKUP(C343,customers!$A:$A,customers!$G:$G,,0)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>
        <f>INDEX(products!$A$1:$G$49,MATCH(orders!$D343,products!$A$1:$A$49,0),MATCH(orders!K$1,products!$A$1:$G$1,0))</f>
        <v>0.5</v>
      </c>
      <c r="L343">
        <f>INDEX(products!$A$1:$G$49,MATCH(orders!$D343,products!$A$1:$A$49,0),MATCH(orders!L$1,products!$A$1:$G$1,0))</f>
        <v>8.91</v>
      </c>
    </row>
    <row r="344" spans="1:12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>
        <f>IF(_xlfn.XLOOKUP(orders!C344,customers!$A:$A,customers!$C:$C,,0)=0,"",_xlfn.XLOOKUP(orders!C344,customers!$A:$A,customers!$C:$C,,0))</f>
        <v>lscargle9h@myspace.com</v>
      </c>
      <c r="H344" s="2" t="str">
        <f>_xlfn.XLOOKUP(C344,customers!$A:$A,customers!$G:$G,,0)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>
        <f>INDEX(products!$A$1:$G$49,MATCH(orders!$D344,products!$A$1:$A$49,0),MATCH(orders!K$1,products!$A$1:$G$1,0))</f>
        <v>0.5</v>
      </c>
      <c r="L344">
        <f>INDEX(products!$A$1:$G$49,MATCH(orders!$D344,products!$A$1:$A$49,0),MATCH(orders!L$1,products!$A$1:$G$1,0))</f>
        <v>7.77</v>
      </c>
    </row>
    <row r="345" spans="1:12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>
        <f>IF(_xlfn.XLOOKUP(orders!C345,customers!$A:$A,customers!$C:$C,,0)=0,"",_xlfn.XLOOKUP(orders!C345,customers!$A:$A,customers!$C:$C,,0))</f>
        <v>nclimance9j@europa.eu</v>
      </c>
      <c r="H345" s="2" t="str">
        <f>_xlfn.XLOOKUP(C345,customers!$A:$A,customers!$G:$G,,0)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>
        <f>INDEX(products!$A$1:$G$49,MATCH(orders!$D345,products!$A$1:$A$49,0),MATCH(orders!K$1,products!$A$1:$G$1,0))</f>
        <v>0.5</v>
      </c>
      <c r="L345">
        <f>INDEX(products!$A$1:$G$49,MATCH(orders!$D345,products!$A$1:$A$49,0),MATCH(orders!L$1,products!$A$1:$G$1,0))</f>
        <v>5.3699999999999992</v>
      </c>
    </row>
    <row r="346" spans="1:12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 t="str">
        <f>IF(_xlfn.XLOOKUP(orders!C346,customers!$A:$A,customers!$C:$C,,0)=0,"",_xlfn.XLOOKUP(orders!C346,customers!$A:$A,customers!$C:$C,,0))</f>
        <v/>
      </c>
      <c r="H346" s="2" t="str">
        <f>_xlfn.XLOOKUP(C346,customers!$A:$A,customers!$G:$G,,0)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>
        <f>INDEX(products!$A$1:$G$49,MATCH(orders!$D346,products!$A$1:$A$49,0),MATCH(orders!K$1,products!$A$1:$G$1,0))</f>
        <v>1</v>
      </c>
      <c r="L346">
        <f>INDEX(products!$A$1:$G$49,MATCH(orders!$D346,products!$A$1:$A$49,0),MATCH(orders!L$1,products!$A$1:$G$1,0))</f>
        <v>9.9499999999999993</v>
      </c>
    </row>
    <row r="347" spans="1:12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>
        <f>IF(_xlfn.XLOOKUP(orders!C347,customers!$A:$A,customers!$C:$C,,0)=0,"",_xlfn.XLOOKUP(orders!C347,customers!$A:$A,customers!$C:$C,,0))</f>
        <v>asnazle9l@oracle.com</v>
      </c>
      <c r="H347" s="2" t="str">
        <f>_xlfn.XLOOKUP(C347,customers!$A:$A,customers!$G:$G,,0)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>
        <f>INDEX(products!$A$1:$G$49,MATCH(orders!$D347,products!$A$1:$A$49,0),MATCH(orders!K$1,products!$A$1:$G$1,0))</f>
        <v>1</v>
      </c>
      <c r="L347">
        <f>INDEX(products!$A$1:$G$49,MATCH(orders!$D347,products!$A$1:$A$49,0),MATCH(orders!L$1,products!$A$1:$G$1,0))</f>
        <v>11.95</v>
      </c>
    </row>
    <row r="348" spans="1:12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>
        <f>IF(_xlfn.XLOOKUP(orders!C348,customers!$A:$A,customers!$C:$C,,0)=0,"",_xlfn.XLOOKUP(orders!C348,customers!$A:$A,customers!$C:$C,,0))</f>
        <v>rworg9m@arstechnica.com</v>
      </c>
      <c r="H348" s="2" t="str">
        <f>_xlfn.XLOOKUP(C348,customers!$A:$A,customers!$G:$G,,0)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>
        <f>INDEX(products!$A$1:$G$49,MATCH(orders!$D348,products!$A$1:$A$49,0),MATCH(orders!K$1,products!$A$1:$G$1,0))</f>
        <v>0.5</v>
      </c>
      <c r="L348">
        <f>INDEX(products!$A$1:$G$49,MATCH(orders!$D348,products!$A$1:$A$49,0),MATCH(orders!L$1,products!$A$1:$G$1,0))</f>
        <v>7.77</v>
      </c>
    </row>
    <row r="349" spans="1:12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>
        <f>IF(_xlfn.XLOOKUP(orders!C349,customers!$A:$A,customers!$C:$C,,0)=0,"",_xlfn.XLOOKUP(orders!C349,customers!$A:$A,customers!$C:$C,,0))</f>
        <v>ldanes9n@umn.edu</v>
      </c>
      <c r="H349" s="2" t="str">
        <f>_xlfn.XLOOKUP(C349,customers!$A:$A,customers!$G:$G,,0)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>
        <f>INDEX(products!$A$1:$G$49,MATCH(orders!$D349,products!$A$1:$A$49,0),MATCH(orders!K$1,products!$A$1:$G$1,0))</f>
        <v>1</v>
      </c>
      <c r="L349">
        <f>INDEX(products!$A$1:$G$49,MATCH(orders!$D349,products!$A$1:$A$49,0),MATCH(orders!L$1,products!$A$1:$G$1,0))</f>
        <v>14.55</v>
      </c>
    </row>
    <row r="350" spans="1:12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>
        <f>IF(_xlfn.XLOOKUP(orders!C350,customers!$A:$A,customers!$C:$C,,0)=0,"",_xlfn.XLOOKUP(orders!C350,customers!$A:$A,customers!$C:$C,,0))</f>
        <v>skeynd9o@narod.ru</v>
      </c>
      <c r="H350" s="2" t="str">
        <f>_xlfn.XLOOKUP(C350,customers!$A:$A,customers!$G:$G,,0)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>
        <f>INDEX(products!$A$1:$G$49,MATCH(orders!$D350,products!$A$1:$A$49,0),MATCH(orders!K$1,products!$A$1:$G$1,0))</f>
        <v>2.5</v>
      </c>
      <c r="L350">
        <f>INDEX(products!$A$1:$G$49,MATCH(orders!$D350,products!$A$1:$A$49,0),MATCH(orders!L$1,products!$A$1:$G$1,0))</f>
        <v>34.154999999999994</v>
      </c>
    </row>
    <row r="351" spans="1:12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>
        <f>IF(_xlfn.XLOOKUP(orders!C351,customers!$A:$A,customers!$C:$C,,0)=0,"",_xlfn.XLOOKUP(orders!C351,customers!$A:$A,customers!$C:$C,,0))</f>
        <v>ddaveridge9p@arstechnica.com</v>
      </c>
      <c r="H351" s="2" t="str">
        <f>_xlfn.XLOOKUP(C351,customers!$A:$A,customers!$G:$G,,0)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>
        <f>INDEX(products!$A$1:$G$49,MATCH(orders!$D351,products!$A$1:$A$49,0),MATCH(orders!K$1,products!$A$1:$G$1,0))</f>
        <v>0.2</v>
      </c>
      <c r="L351">
        <f>INDEX(products!$A$1:$G$49,MATCH(orders!$D351,products!$A$1:$A$49,0),MATCH(orders!L$1,products!$A$1:$G$1,0))</f>
        <v>3.5849999999999995</v>
      </c>
    </row>
    <row r="352" spans="1:12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>
        <f>IF(_xlfn.XLOOKUP(orders!C352,customers!$A:$A,customers!$C:$C,,0)=0,"",_xlfn.XLOOKUP(orders!C352,customers!$A:$A,customers!$C:$C,,0))</f>
        <v>jawdry9q@utexas.edu</v>
      </c>
      <c r="H352" s="2" t="str">
        <f>_xlfn.XLOOKUP(C352,customers!$A:$A,customers!$G:$G,,0)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>
        <f>INDEX(products!$A$1:$G$49,MATCH(orders!$D352,products!$A$1:$A$49,0),MATCH(orders!K$1,products!$A$1:$G$1,0))</f>
        <v>0.5</v>
      </c>
      <c r="L352">
        <f>INDEX(products!$A$1:$G$49,MATCH(orders!$D352,products!$A$1:$A$49,0),MATCH(orders!L$1,products!$A$1:$G$1,0))</f>
        <v>5.97</v>
      </c>
    </row>
    <row r="353" spans="1:12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>
        <f>IF(_xlfn.XLOOKUP(orders!C353,customers!$A:$A,customers!$C:$C,,0)=0,"",_xlfn.XLOOKUP(orders!C353,customers!$A:$A,customers!$C:$C,,0))</f>
        <v>eryles9r@fastcompany.com</v>
      </c>
      <c r="H353" s="2" t="str">
        <f>_xlfn.XLOOKUP(C353,customers!$A:$A,customers!$G:$G,,0)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>
        <f>INDEX(products!$A$1:$G$49,MATCH(orders!$D353,products!$A$1:$A$49,0),MATCH(orders!K$1,products!$A$1:$G$1,0))</f>
        <v>1</v>
      </c>
      <c r="L353">
        <f>INDEX(products!$A$1:$G$49,MATCH(orders!$D353,products!$A$1:$A$49,0),MATCH(orders!L$1,products!$A$1:$G$1,0))</f>
        <v>11.25</v>
      </c>
    </row>
    <row r="354" spans="1:12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 t="str">
        <f>IF(_xlfn.XLOOKUP(orders!C354,customers!$A:$A,customers!$C:$C,,0)=0,"",_xlfn.XLOOKUP(orders!C354,customers!$A:$A,customers!$C:$C,,0))</f>
        <v/>
      </c>
      <c r="H354" s="2" t="str">
        <f>_xlfn.XLOOKUP(C354,customers!$A:$A,customers!$G:$G,,0)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>
        <f>INDEX(products!$A$1:$G$49,MATCH(orders!$D354,products!$A$1:$A$49,0),MATCH(orders!K$1,products!$A$1:$G$1,0))</f>
        <v>0.5</v>
      </c>
      <c r="L354">
        <f>INDEX(products!$A$1:$G$49,MATCH(orders!$D354,products!$A$1:$A$49,0),MATCH(orders!L$1,products!$A$1:$G$1,0))</f>
        <v>7.29</v>
      </c>
    </row>
    <row r="355" spans="1:12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 t="str">
        <f>IF(_xlfn.XLOOKUP(orders!C355,customers!$A:$A,customers!$C:$C,,0)=0,"",_xlfn.XLOOKUP(orders!C355,customers!$A:$A,customers!$C:$C,,0))</f>
        <v/>
      </c>
      <c r="H355" s="2" t="str">
        <f>_xlfn.XLOOKUP(C355,customers!$A:$A,customers!$G:$G,,0)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>
        <f>INDEX(products!$A$1:$G$49,MATCH(orders!$D355,products!$A$1:$A$49,0),MATCH(orders!K$1,products!$A$1:$G$1,0))</f>
        <v>0.5</v>
      </c>
      <c r="L355">
        <f>INDEX(products!$A$1:$G$49,MATCH(orders!$D355,products!$A$1:$A$49,0),MATCH(orders!L$1,products!$A$1:$G$1,0))</f>
        <v>6.75</v>
      </c>
    </row>
    <row r="356" spans="1:12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>
        <f>IF(_xlfn.XLOOKUP(orders!C356,customers!$A:$A,customers!$C:$C,,0)=0,"",_xlfn.XLOOKUP(orders!C356,customers!$A:$A,customers!$C:$C,,0))</f>
        <v>jcaldicott9u@usda.gov</v>
      </c>
      <c r="H356" s="2" t="str">
        <f>_xlfn.XLOOKUP(C356,customers!$A:$A,customers!$G:$G,,0)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>
        <f>INDEX(products!$A$1:$G$49,MATCH(orders!$D356,products!$A$1:$A$49,0),MATCH(orders!K$1,products!$A$1:$G$1,0))</f>
        <v>2.5</v>
      </c>
      <c r="L356">
        <f>INDEX(products!$A$1:$G$49,MATCH(orders!$D356,products!$A$1:$A$49,0),MATCH(orders!L$1,products!$A$1:$G$1,0))</f>
        <v>25.874999999999996</v>
      </c>
    </row>
    <row r="357" spans="1:12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>
        <f>IF(_xlfn.XLOOKUP(orders!C357,customers!$A:$A,customers!$C:$C,,0)=0,"",_xlfn.XLOOKUP(orders!C357,customers!$A:$A,customers!$C:$C,,0))</f>
        <v>mvedmore9v@a8.net</v>
      </c>
      <c r="H357" s="2" t="str">
        <f>_xlfn.XLOOKUP(C357,customers!$A:$A,customers!$G:$G,,0)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>
        <f>INDEX(products!$A$1:$G$49,MATCH(orders!$D357,products!$A$1:$A$49,0),MATCH(orders!K$1,products!$A$1:$G$1,0))</f>
        <v>2.5</v>
      </c>
      <c r="L357">
        <f>INDEX(products!$A$1:$G$49,MATCH(orders!$D357,products!$A$1:$A$49,0),MATCH(orders!L$1,products!$A$1:$G$1,0))</f>
        <v>22.884999999999998</v>
      </c>
    </row>
    <row r="358" spans="1:12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>
        <f>IF(_xlfn.XLOOKUP(orders!C358,customers!$A:$A,customers!$C:$C,,0)=0,"",_xlfn.XLOOKUP(orders!C358,customers!$A:$A,customers!$C:$C,,0))</f>
        <v>wromao9w@chronoengine.com</v>
      </c>
      <c r="H358" s="2" t="str">
        <f>_xlfn.XLOOKUP(C358,customers!$A:$A,customers!$G:$G,,0)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>
        <f>INDEX(products!$A$1:$G$49,MATCH(orders!$D358,products!$A$1:$A$49,0),MATCH(orders!K$1,products!$A$1:$G$1,0))</f>
        <v>1</v>
      </c>
      <c r="L358">
        <f>INDEX(products!$A$1:$G$49,MATCH(orders!$D358,products!$A$1:$A$49,0),MATCH(orders!L$1,products!$A$1:$G$1,0))</f>
        <v>12.95</v>
      </c>
    </row>
    <row r="359" spans="1:12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 t="str">
        <f>IF(_xlfn.XLOOKUP(orders!C359,customers!$A:$A,customers!$C:$C,,0)=0,"",_xlfn.XLOOKUP(orders!C359,customers!$A:$A,customers!$C:$C,,0))</f>
        <v/>
      </c>
      <c r="H359" s="2" t="str">
        <f>_xlfn.XLOOKUP(C359,customers!$A:$A,customers!$G:$G,,0)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>
        <f>INDEX(products!$A$1:$G$49,MATCH(orders!$D359,products!$A$1:$A$49,0),MATCH(orders!K$1,products!$A$1:$G$1,0))</f>
        <v>2.5</v>
      </c>
      <c r="L359">
        <f>INDEX(products!$A$1:$G$49,MATCH(orders!$D359,products!$A$1:$A$49,0),MATCH(orders!L$1,products!$A$1:$G$1,0))</f>
        <v>25.874999999999996</v>
      </c>
    </row>
    <row r="360" spans="1:12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>
        <f>IF(_xlfn.XLOOKUP(orders!C360,customers!$A:$A,customers!$C:$C,,0)=0,"",_xlfn.XLOOKUP(orders!C360,customers!$A:$A,customers!$C:$C,,0))</f>
        <v>tcotmore9y@amazonaws.com</v>
      </c>
      <c r="H360" s="2" t="str">
        <f>_xlfn.XLOOKUP(C360,customers!$A:$A,customers!$G:$G,,0)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>
        <f>INDEX(products!$A$1:$G$49,MATCH(orders!$D360,products!$A$1:$A$49,0),MATCH(orders!K$1,products!$A$1:$G$1,0))</f>
        <v>2.5</v>
      </c>
      <c r="L360">
        <f>INDEX(products!$A$1:$G$49,MATCH(orders!$D360,products!$A$1:$A$49,0),MATCH(orders!L$1,products!$A$1:$G$1,0))</f>
        <v>29.784999999999997</v>
      </c>
    </row>
    <row r="361" spans="1:12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>
        <f>IF(_xlfn.XLOOKUP(orders!C361,customers!$A:$A,customers!$C:$C,,0)=0,"",_xlfn.XLOOKUP(orders!C361,customers!$A:$A,customers!$C:$C,,0))</f>
        <v>yskipsey9z@spotify.com</v>
      </c>
      <c r="H361" s="2" t="str">
        <f>_xlfn.XLOOKUP(C361,customers!$A:$A,customers!$G:$G,,0)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>
        <f>INDEX(products!$A$1:$G$49,MATCH(orders!$D361,products!$A$1:$A$49,0),MATCH(orders!K$1,products!$A$1:$G$1,0))</f>
        <v>0.2</v>
      </c>
      <c r="L361">
        <f>INDEX(products!$A$1:$G$49,MATCH(orders!$D361,products!$A$1:$A$49,0),MATCH(orders!L$1,products!$A$1:$G$1,0))</f>
        <v>3.5849999999999995</v>
      </c>
    </row>
    <row r="362" spans="1:12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>
        <f>IF(_xlfn.XLOOKUP(orders!C362,customers!$A:$A,customers!$C:$C,,0)=0,"",_xlfn.XLOOKUP(orders!C362,customers!$A:$A,customers!$C:$C,,0))</f>
        <v>ncorpsa0@gmpg.org</v>
      </c>
      <c r="H362" s="2" t="str">
        <f>_xlfn.XLOOKUP(C362,customers!$A:$A,customers!$G:$G,,0)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>
        <f>INDEX(products!$A$1:$G$49,MATCH(orders!$D362,products!$A$1:$A$49,0),MATCH(orders!K$1,products!$A$1:$G$1,0))</f>
        <v>2.5</v>
      </c>
      <c r="L362">
        <f>INDEX(products!$A$1:$G$49,MATCH(orders!$D362,products!$A$1:$A$49,0),MATCH(orders!L$1,products!$A$1:$G$1,0))</f>
        <v>20.584999999999997</v>
      </c>
    </row>
    <row r="363" spans="1:12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>
        <f>IF(_xlfn.XLOOKUP(orders!C363,customers!$A:$A,customers!$C:$C,,0)=0,"",_xlfn.XLOOKUP(orders!C363,customers!$A:$A,customers!$C:$C,,0))</f>
        <v>ncorpsa0@gmpg.org</v>
      </c>
      <c r="H363" s="2" t="str">
        <f>_xlfn.XLOOKUP(C363,customers!$A:$A,customers!$G:$G,,0)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>
        <f>INDEX(products!$A$1:$G$49,MATCH(orders!$D363,products!$A$1:$A$49,0),MATCH(orders!K$1,products!$A$1:$G$1,0))</f>
        <v>0.5</v>
      </c>
      <c r="L363">
        <f>INDEX(products!$A$1:$G$49,MATCH(orders!$D363,products!$A$1:$A$49,0),MATCH(orders!L$1,products!$A$1:$G$1,0))</f>
        <v>5.97</v>
      </c>
    </row>
    <row r="364" spans="1:12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>
        <f>IF(_xlfn.XLOOKUP(orders!C364,customers!$A:$A,customers!$C:$C,,0)=0,"",_xlfn.XLOOKUP(orders!C364,customers!$A:$A,customers!$C:$C,,0))</f>
        <v>fbabbera2@stanford.edu</v>
      </c>
      <c r="H364" s="2" t="str">
        <f>_xlfn.XLOOKUP(C364,customers!$A:$A,customers!$G:$G,,0)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>
        <f>INDEX(products!$A$1:$G$49,MATCH(orders!$D364,products!$A$1:$A$49,0),MATCH(orders!K$1,products!$A$1:$G$1,0))</f>
        <v>1</v>
      </c>
      <c r="L364">
        <f>INDEX(products!$A$1:$G$49,MATCH(orders!$D364,products!$A$1:$A$49,0),MATCH(orders!L$1,products!$A$1:$G$1,0))</f>
        <v>14.85</v>
      </c>
    </row>
    <row r="365" spans="1:12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>
        <f>IF(_xlfn.XLOOKUP(orders!C365,customers!$A:$A,customers!$C:$C,,0)=0,"",_xlfn.XLOOKUP(orders!C365,customers!$A:$A,customers!$C:$C,,0))</f>
        <v>kloxtona3@opensource.org</v>
      </c>
      <c r="H365" s="2" t="str">
        <f>_xlfn.XLOOKUP(C365,customers!$A:$A,customers!$G:$G,,0)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>
        <f>INDEX(products!$A$1:$G$49,MATCH(orders!$D365,products!$A$1:$A$49,0),MATCH(orders!K$1,products!$A$1:$G$1,0))</f>
        <v>1</v>
      </c>
      <c r="L365">
        <f>INDEX(products!$A$1:$G$49,MATCH(orders!$D365,products!$A$1:$A$49,0),MATCH(orders!L$1,products!$A$1:$G$1,0))</f>
        <v>14.55</v>
      </c>
    </row>
    <row r="366" spans="1:12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>
        <f>IF(_xlfn.XLOOKUP(orders!C366,customers!$A:$A,customers!$C:$C,,0)=0,"",_xlfn.XLOOKUP(orders!C366,customers!$A:$A,customers!$C:$C,,0))</f>
        <v>ptoffula4@posterous.com</v>
      </c>
      <c r="H366" s="2" t="str">
        <f>_xlfn.XLOOKUP(C366,customers!$A:$A,customers!$G:$G,,0)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>
        <f>INDEX(products!$A$1:$G$49,MATCH(orders!$D366,products!$A$1:$A$49,0),MATCH(orders!K$1,products!$A$1:$G$1,0))</f>
        <v>1</v>
      </c>
      <c r="L366">
        <f>INDEX(products!$A$1:$G$49,MATCH(orders!$D366,products!$A$1:$A$49,0),MATCH(orders!L$1,products!$A$1:$G$1,0))</f>
        <v>12.15</v>
      </c>
    </row>
    <row r="367" spans="1:12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>
        <f>IF(_xlfn.XLOOKUP(orders!C367,customers!$A:$A,customers!$C:$C,,0)=0,"",_xlfn.XLOOKUP(orders!C367,customers!$A:$A,customers!$C:$C,,0))</f>
        <v>cgwinnetta5@behance.net</v>
      </c>
      <c r="H367" s="2" t="str">
        <f>_xlfn.XLOOKUP(C367,customers!$A:$A,customers!$G:$G,,0)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>
        <f>INDEX(products!$A$1:$G$49,MATCH(orders!$D367,products!$A$1:$A$49,0),MATCH(orders!K$1,products!$A$1:$G$1,0))</f>
        <v>0.5</v>
      </c>
      <c r="L367">
        <f>INDEX(products!$A$1:$G$49,MATCH(orders!$D367,products!$A$1:$A$49,0),MATCH(orders!L$1,products!$A$1:$G$1,0))</f>
        <v>7.77</v>
      </c>
    </row>
    <row r="368" spans="1:12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 t="str">
        <f>IF(_xlfn.XLOOKUP(orders!C368,customers!$A:$A,customers!$C:$C,,0)=0,"",_xlfn.XLOOKUP(orders!C368,customers!$A:$A,customers!$C:$C,,0))</f>
        <v/>
      </c>
      <c r="H368" s="2" t="str">
        <f>_xlfn.XLOOKUP(C368,customers!$A:$A,customers!$G:$G,,0)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>
        <f>INDEX(products!$A$1:$G$49,MATCH(orders!$D368,products!$A$1:$A$49,0),MATCH(orders!K$1,products!$A$1:$G$1,0))</f>
        <v>0.5</v>
      </c>
      <c r="L368">
        <f>INDEX(products!$A$1:$G$49,MATCH(orders!$D368,products!$A$1:$A$49,0),MATCH(orders!L$1,products!$A$1:$G$1,0))</f>
        <v>7.29</v>
      </c>
    </row>
    <row r="369" spans="1:12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 t="str">
        <f>IF(_xlfn.XLOOKUP(orders!C369,customers!$A:$A,customers!$C:$C,,0)=0,"",_xlfn.XLOOKUP(orders!C369,customers!$A:$A,customers!$C:$C,,0))</f>
        <v/>
      </c>
      <c r="H369" s="2" t="str">
        <f>_xlfn.XLOOKUP(C369,customers!$A:$A,customers!$G:$G,,0)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>
        <f>INDEX(products!$A$1:$G$49,MATCH(orders!$D369,products!$A$1:$A$49,0),MATCH(orders!K$1,products!$A$1:$G$1,0))</f>
        <v>0.2</v>
      </c>
      <c r="L369">
        <f>INDEX(products!$A$1:$G$49,MATCH(orders!$D369,products!$A$1:$A$49,0),MATCH(orders!L$1,products!$A$1:$G$1,0))</f>
        <v>4.3650000000000002</v>
      </c>
    </row>
    <row r="370" spans="1:12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>
        <f>IF(_xlfn.XLOOKUP(orders!C370,customers!$A:$A,customers!$C:$C,,0)=0,"",_xlfn.XLOOKUP(orders!C370,customers!$A:$A,customers!$C:$C,,0))</f>
        <v>lflaoniera8@wordpress.org</v>
      </c>
      <c r="H370" s="2" t="str">
        <f>_xlfn.XLOOKUP(C370,customers!$A:$A,customers!$G:$G,,0)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>
        <f>INDEX(products!$A$1:$G$49,MATCH(orders!$D370,products!$A$1:$A$49,0),MATCH(orders!K$1,products!$A$1:$G$1,0))</f>
        <v>2.5</v>
      </c>
      <c r="L370">
        <f>INDEX(products!$A$1:$G$49,MATCH(orders!$D370,products!$A$1:$A$49,0),MATCH(orders!L$1,products!$A$1:$G$1,0))</f>
        <v>31.624999999999996</v>
      </c>
    </row>
    <row r="371" spans="1:12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 t="str">
        <f>IF(_xlfn.XLOOKUP(orders!C371,customers!$A:$A,customers!$C:$C,,0)=0,"",_xlfn.XLOOKUP(orders!C371,customers!$A:$A,customers!$C:$C,,0))</f>
        <v/>
      </c>
      <c r="H371" s="2" t="str">
        <f>_xlfn.XLOOKUP(C371,customers!$A:$A,customers!$G:$G,,0)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>
        <f>INDEX(products!$A$1:$G$49,MATCH(orders!$D371,products!$A$1:$A$49,0),MATCH(orders!K$1,products!$A$1:$G$1,0))</f>
        <v>0.5</v>
      </c>
      <c r="L371">
        <f>INDEX(products!$A$1:$G$49,MATCH(orders!$D371,products!$A$1:$A$49,0),MATCH(orders!L$1,products!$A$1:$G$1,0))</f>
        <v>8.91</v>
      </c>
    </row>
    <row r="372" spans="1:12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>
        <f>IF(_xlfn.XLOOKUP(orders!C372,customers!$A:$A,customers!$C:$C,,0)=0,"",_xlfn.XLOOKUP(orders!C372,customers!$A:$A,customers!$C:$C,,0))</f>
        <v>ccatchesideaa@macromedia.com</v>
      </c>
      <c r="H372" s="2" t="str">
        <f>_xlfn.XLOOKUP(C372,customers!$A:$A,customers!$G:$G,,0)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>
        <f>INDEX(products!$A$1:$G$49,MATCH(orders!$D372,products!$A$1:$A$49,0),MATCH(orders!K$1,products!$A$1:$G$1,0))</f>
        <v>1</v>
      </c>
      <c r="L372">
        <f>INDEX(products!$A$1:$G$49,MATCH(orders!$D372,products!$A$1:$A$49,0),MATCH(orders!L$1,products!$A$1:$G$1,0))</f>
        <v>12.15</v>
      </c>
    </row>
    <row r="373" spans="1:12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>
        <f>IF(_xlfn.XLOOKUP(orders!C373,customers!$A:$A,customers!$C:$C,,0)=0,"",_xlfn.XLOOKUP(orders!C373,customers!$A:$A,customers!$C:$C,,0))</f>
        <v>cgibbonsonab@accuweather.com</v>
      </c>
      <c r="H373" s="2" t="str">
        <f>_xlfn.XLOOKUP(C373,customers!$A:$A,customers!$G:$G,,0)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>
        <f>INDEX(products!$A$1:$G$49,MATCH(orders!$D373,products!$A$1:$A$49,0),MATCH(orders!K$1,products!$A$1:$G$1,0))</f>
        <v>0.5</v>
      </c>
      <c r="L373">
        <f>INDEX(products!$A$1:$G$49,MATCH(orders!$D373,products!$A$1:$A$49,0),MATCH(orders!L$1,products!$A$1:$G$1,0))</f>
        <v>7.77</v>
      </c>
    </row>
    <row r="374" spans="1:12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>
        <f>IF(_xlfn.XLOOKUP(orders!C374,customers!$A:$A,customers!$C:$C,,0)=0,"",_xlfn.XLOOKUP(orders!C374,customers!$A:$A,customers!$C:$C,,0))</f>
        <v>tfarraac@behance.net</v>
      </c>
      <c r="H374" s="2" t="str">
        <f>_xlfn.XLOOKUP(C374,customers!$A:$A,customers!$G:$G,,0)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>
        <f>INDEX(products!$A$1:$G$49,MATCH(orders!$D374,products!$A$1:$A$49,0),MATCH(orders!K$1,products!$A$1:$G$1,0))</f>
        <v>0.5</v>
      </c>
      <c r="L374">
        <f>INDEX(products!$A$1:$G$49,MATCH(orders!$D374,products!$A$1:$A$49,0),MATCH(orders!L$1,products!$A$1:$G$1,0))</f>
        <v>7.169999999999999</v>
      </c>
    </row>
    <row r="375" spans="1:12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 t="str">
        <f>IF(_xlfn.XLOOKUP(orders!C375,customers!$A:$A,customers!$C:$C,,0)=0,"",_xlfn.XLOOKUP(orders!C375,customers!$A:$A,customers!$C:$C,,0))</f>
        <v/>
      </c>
      <c r="H375" s="2" t="str">
        <f>_xlfn.XLOOKUP(C375,customers!$A:$A,customers!$G:$G,,0)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>
        <f>INDEX(products!$A$1:$G$49,MATCH(orders!$D375,products!$A$1:$A$49,0),MATCH(orders!K$1,products!$A$1:$G$1,0))</f>
        <v>0.5</v>
      </c>
      <c r="L375">
        <f>INDEX(products!$A$1:$G$49,MATCH(orders!$D375,products!$A$1:$A$49,0),MATCH(orders!L$1,products!$A$1:$G$1,0))</f>
        <v>5.97</v>
      </c>
    </row>
    <row r="376" spans="1:12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>
        <f>IF(_xlfn.XLOOKUP(orders!C376,customers!$A:$A,customers!$C:$C,,0)=0,"",_xlfn.XLOOKUP(orders!C376,customers!$A:$A,customers!$C:$C,,0))</f>
        <v>gbamfieldae@yellowpages.com</v>
      </c>
      <c r="H376" s="2" t="str">
        <f>_xlfn.XLOOKUP(C376,customers!$A:$A,customers!$G:$G,,0)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>
        <f>INDEX(products!$A$1:$G$49,MATCH(orders!$D376,products!$A$1:$A$49,0),MATCH(orders!K$1,products!$A$1:$G$1,0))</f>
        <v>0.5</v>
      </c>
      <c r="L376">
        <f>INDEX(products!$A$1:$G$49,MATCH(orders!$D376,products!$A$1:$A$49,0),MATCH(orders!L$1,products!$A$1:$G$1,0))</f>
        <v>9.51</v>
      </c>
    </row>
    <row r="377" spans="1:12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>
        <f>IF(_xlfn.XLOOKUP(orders!C377,customers!$A:$A,customers!$C:$C,,0)=0,"",_xlfn.XLOOKUP(orders!C377,customers!$A:$A,customers!$C:$C,,0))</f>
        <v>whollingdaleaf@about.me</v>
      </c>
      <c r="H377" s="2" t="str">
        <f>_xlfn.XLOOKUP(C377,customers!$A:$A,customers!$G:$G,,0)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>
        <f>INDEX(products!$A$1:$G$49,MATCH(orders!$D377,products!$A$1:$A$49,0),MATCH(orders!K$1,products!$A$1:$G$1,0))</f>
        <v>0.2</v>
      </c>
      <c r="L377">
        <f>INDEX(products!$A$1:$G$49,MATCH(orders!$D377,products!$A$1:$A$49,0),MATCH(orders!L$1,products!$A$1:$G$1,0))</f>
        <v>3.375</v>
      </c>
    </row>
    <row r="378" spans="1:12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>
        <f>IF(_xlfn.XLOOKUP(orders!C378,customers!$A:$A,customers!$C:$C,,0)=0,"",_xlfn.XLOOKUP(orders!C378,customers!$A:$A,customers!$C:$C,,0))</f>
        <v>jdeag@xrea.com</v>
      </c>
      <c r="H378" s="2" t="str">
        <f>_xlfn.XLOOKUP(C378,customers!$A:$A,customers!$G:$G,,0)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>
        <f>INDEX(products!$A$1:$G$49,MATCH(orders!$D378,products!$A$1:$A$49,0),MATCH(orders!K$1,products!$A$1:$G$1,0))</f>
        <v>0.5</v>
      </c>
      <c r="L378">
        <f>INDEX(products!$A$1:$G$49,MATCH(orders!$D378,products!$A$1:$A$49,0),MATCH(orders!L$1,products!$A$1:$G$1,0))</f>
        <v>5.97</v>
      </c>
    </row>
    <row r="379" spans="1:12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>
        <f>IF(_xlfn.XLOOKUP(orders!C379,customers!$A:$A,customers!$C:$C,,0)=0,"",_xlfn.XLOOKUP(orders!C379,customers!$A:$A,customers!$C:$C,,0))</f>
        <v>vskulletah@tinyurl.com</v>
      </c>
      <c r="H379" s="2" t="str">
        <f>_xlfn.XLOOKUP(C379,customers!$A:$A,customers!$G:$G,,0)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>
        <f>INDEX(products!$A$1:$G$49,MATCH(orders!$D379,products!$A$1:$A$49,0),MATCH(orders!K$1,products!$A$1:$G$1,0))</f>
        <v>0.2</v>
      </c>
      <c r="L379">
        <f>INDEX(products!$A$1:$G$49,MATCH(orders!$D379,products!$A$1:$A$49,0),MATCH(orders!L$1,products!$A$1:$G$1,0))</f>
        <v>2.6849999999999996</v>
      </c>
    </row>
    <row r="380" spans="1:12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>
        <f>IF(_xlfn.XLOOKUP(orders!C380,customers!$A:$A,customers!$C:$C,,0)=0,"",_xlfn.XLOOKUP(orders!C380,customers!$A:$A,customers!$C:$C,,0))</f>
        <v>jrudeforthai@wunderground.com</v>
      </c>
      <c r="H380" s="2" t="str">
        <f>_xlfn.XLOOKUP(C380,customers!$A:$A,customers!$G:$G,,0)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>
        <f>INDEX(products!$A$1:$G$49,MATCH(orders!$D380,products!$A$1:$A$49,0),MATCH(orders!K$1,products!$A$1:$G$1,0))</f>
        <v>0.5</v>
      </c>
      <c r="L380">
        <f>INDEX(products!$A$1:$G$49,MATCH(orders!$D380,products!$A$1:$A$49,0),MATCH(orders!L$1,products!$A$1:$G$1,0))</f>
        <v>7.77</v>
      </c>
    </row>
    <row r="381" spans="1:12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>
        <f>IF(_xlfn.XLOOKUP(orders!C381,customers!$A:$A,customers!$C:$C,,0)=0,"",_xlfn.XLOOKUP(orders!C381,customers!$A:$A,customers!$C:$C,,0))</f>
        <v>atomaszewskiaj@answers.com</v>
      </c>
      <c r="H381" s="2" t="str">
        <f>_xlfn.XLOOKUP(C381,customers!$A:$A,customers!$G:$G,,0)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>
        <f>INDEX(products!$A$1:$G$49,MATCH(orders!$D381,products!$A$1:$A$49,0),MATCH(orders!K$1,products!$A$1:$G$1,0))</f>
        <v>0.5</v>
      </c>
      <c r="L381">
        <f>INDEX(products!$A$1:$G$49,MATCH(orders!$D381,products!$A$1:$A$49,0),MATCH(orders!L$1,products!$A$1:$G$1,0))</f>
        <v>7.169999999999999</v>
      </c>
    </row>
    <row r="382" spans="1:12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 t="str">
        <f>IF(_xlfn.XLOOKUP(orders!C382,customers!$A:$A,customers!$C:$C,,0)=0,"",_xlfn.XLOOKUP(orders!C382,customers!$A:$A,customers!$C:$C,,0))</f>
        <v/>
      </c>
      <c r="H382" s="2" t="str">
        <f>_xlfn.XLOOKUP(C382,customers!$A:$A,customers!$G:$G,,0)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>
        <f>INDEX(products!$A$1:$G$49,MATCH(orders!$D382,products!$A$1:$A$49,0),MATCH(orders!K$1,products!$A$1:$G$1,0))</f>
        <v>0.5</v>
      </c>
      <c r="L382">
        <f>INDEX(products!$A$1:$G$49,MATCH(orders!$D382,products!$A$1:$A$49,0),MATCH(orders!L$1,products!$A$1:$G$1,0))</f>
        <v>7.77</v>
      </c>
    </row>
    <row r="383" spans="1:12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>
        <f>IF(_xlfn.XLOOKUP(orders!C383,customers!$A:$A,customers!$C:$C,,0)=0,"",_xlfn.XLOOKUP(orders!C383,customers!$A:$A,customers!$C:$C,,0))</f>
        <v>pbessal@qq.com</v>
      </c>
      <c r="H383" s="2" t="str">
        <f>_xlfn.XLOOKUP(C383,customers!$A:$A,customers!$G:$G,,0)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>
        <f>INDEX(products!$A$1:$G$49,MATCH(orders!$D383,products!$A$1:$A$49,0),MATCH(orders!K$1,products!$A$1:$G$1,0))</f>
        <v>0.2</v>
      </c>
      <c r="L383">
        <f>INDEX(products!$A$1:$G$49,MATCH(orders!$D383,products!$A$1:$A$49,0),MATCH(orders!L$1,products!$A$1:$G$1,0))</f>
        <v>2.9849999999999999</v>
      </c>
    </row>
    <row r="384" spans="1:12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>
        <f>IF(_xlfn.XLOOKUP(orders!C384,customers!$A:$A,customers!$C:$C,,0)=0,"",_xlfn.XLOOKUP(orders!C384,customers!$A:$A,customers!$C:$C,,0))</f>
        <v>ewindressam@marketwatch.com</v>
      </c>
      <c r="H384" s="2" t="str">
        <f>_xlfn.XLOOKUP(C384,customers!$A:$A,customers!$G:$G,,0)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>
        <f>INDEX(products!$A$1:$G$49,MATCH(orders!$D384,products!$A$1:$A$49,0),MATCH(orders!K$1,products!$A$1:$G$1,0))</f>
        <v>0.5</v>
      </c>
      <c r="L384">
        <f>INDEX(products!$A$1:$G$49,MATCH(orders!$D384,products!$A$1:$A$49,0),MATCH(orders!L$1,products!$A$1:$G$1,0))</f>
        <v>7.29</v>
      </c>
    </row>
    <row r="385" spans="1:12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 t="str">
        <f>IF(_xlfn.XLOOKUP(orders!C385,customers!$A:$A,customers!$C:$C,,0)=0,"",_xlfn.XLOOKUP(orders!C385,customers!$A:$A,customers!$C:$C,,0))</f>
        <v/>
      </c>
      <c r="H385" s="2" t="str">
        <f>_xlfn.XLOOKUP(C385,customers!$A:$A,customers!$G:$G,,0)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>
        <f>INDEX(products!$A$1:$G$49,MATCH(orders!$D385,products!$A$1:$A$49,0),MATCH(orders!K$1,products!$A$1:$G$1,0))</f>
        <v>0.5</v>
      </c>
      <c r="L385">
        <f>INDEX(products!$A$1:$G$49,MATCH(orders!$D385,products!$A$1:$A$49,0),MATCH(orders!L$1,products!$A$1:$G$1,0))</f>
        <v>8.91</v>
      </c>
    </row>
    <row r="386" spans="1:12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 t="str">
        <f>IF(_xlfn.XLOOKUP(orders!C386,customers!$A:$A,customers!$C:$C,,0)=0,"",_xlfn.XLOOKUP(orders!C386,customers!$A:$A,customers!$C:$C,,0))</f>
        <v/>
      </c>
      <c r="H386" s="2" t="str">
        <f>_xlfn.XLOOKUP(C386,customers!$A:$A,customers!$G:$G,,0)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>
        <f>INDEX(products!$A$1:$G$49,MATCH(orders!$D386,products!$A$1:$A$49,0),MATCH(orders!K$1,products!$A$1:$G$1,0))</f>
        <v>2.5</v>
      </c>
      <c r="L386">
        <f>INDEX(products!$A$1:$G$49,MATCH(orders!$D386,products!$A$1:$A$49,0),MATCH(orders!L$1,products!$A$1:$G$1,0))</f>
        <v>29.784999999999997</v>
      </c>
    </row>
    <row r="387" spans="1:12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>
        <f>IF(_xlfn.XLOOKUP(orders!C387,customers!$A:$A,customers!$C:$C,,0)=0,"",_xlfn.XLOOKUP(orders!C387,customers!$A:$A,customers!$C:$C,,0))</f>
        <v>vbaumadierap@google.cn</v>
      </c>
      <c r="H387" s="2" t="str">
        <f>_xlfn.XLOOKUP(C387,customers!$A:$A,customers!$G:$G,,0)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>
        <f>INDEX(products!$A$1:$G$49,MATCH(orders!$D387,products!$A$1:$A$49,0),MATCH(orders!K$1,products!$A$1:$G$1,0))</f>
        <v>0.5</v>
      </c>
      <c r="L387">
        <f>INDEX(products!$A$1:$G$49,MATCH(orders!$D387,products!$A$1:$A$49,0),MATCH(orders!L$1,products!$A$1:$G$1,0))</f>
        <v>8.73</v>
      </c>
    </row>
    <row r="388" spans="1:12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 t="str">
        <f>IF(_xlfn.XLOOKUP(orders!C388,customers!$A:$A,customers!$C:$C,,0)=0,"",_xlfn.XLOOKUP(orders!C388,customers!$A:$A,customers!$C:$C,,0))</f>
        <v/>
      </c>
      <c r="H388" s="2" t="str">
        <f>_xlfn.XLOOKUP(C388,customers!$A:$A,customers!$G:$G,,0)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>
        <f>INDEX(products!$A$1:$G$49,MATCH(orders!$D388,products!$A$1:$A$49,0),MATCH(orders!K$1,products!$A$1:$G$1,0))</f>
        <v>0.2</v>
      </c>
      <c r="L388">
        <f>INDEX(products!$A$1:$G$49,MATCH(orders!$D388,products!$A$1:$A$49,0),MATCH(orders!L$1,products!$A$1:$G$1,0))</f>
        <v>2.9849999999999999</v>
      </c>
    </row>
    <row r="389" spans="1:12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>
        <f>IF(_xlfn.XLOOKUP(orders!C389,customers!$A:$A,customers!$C:$C,,0)=0,"",_xlfn.XLOOKUP(orders!C389,customers!$A:$A,customers!$C:$C,,0))</f>
        <v>sweldsar@wired.com</v>
      </c>
      <c r="H389" s="2" t="str">
        <f>_xlfn.XLOOKUP(C389,customers!$A:$A,customers!$G:$G,,0)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>
        <f>INDEX(products!$A$1:$G$49,MATCH(orders!$D389,products!$A$1:$A$49,0),MATCH(orders!K$1,products!$A$1:$G$1,0))</f>
        <v>1</v>
      </c>
      <c r="L389">
        <f>INDEX(products!$A$1:$G$49,MATCH(orders!$D389,products!$A$1:$A$49,0),MATCH(orders!L$1,products!$A$1:$G$1,0))</f>
        <v>14.85</v>
      </c>
    </row>
    <row r="390" spans="1:12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>
        <f>IF(_xlfn.XLOOKUP(orders!C390,customers!$A:$A,customers!$C:$C,,0)=0,"",_xlfn.XLOOKUP(orders!C390,customers!$A:$A,customers!$C:$C,,0))</f>
        <v>msarvaras@artisteer.com</v>
      </c>
      <c r="H390" s="2" t="str">
        <f>_xlfn.XLOOKUP(C390,customers!$A:$A,customers!$G:$G,,0)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>
        <f>INDEX(products!$A$1:$G$49,MATCH(orders!$D390,products!$A$1:$A$49,0),MATCH(orders!K$1,products!$A$1:$G$1,0))</f>
        <v>0.2</v>
      </c>
      <c r="L390">
        <f>INDEX(products!$A$1:$G$49,MATCH(orders!$D390,products!$A$1:$A$49,0),MATCH(orders!L$1,products!$A$1:$G$1,0))</f>
        <v>3.8849999999999998</v>
      </c>
    </row>
    <row r="391" spans="1:12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>
        <f>IF(_xlfn.XLOOKUP(orders!C391,customers!$A:$A,customers!$C:$C,,0)=0,"",_xlfn.XLOOKUP(orders!C391,customers!$A:$A,customers!$C:$C,,0))</f>
        <v>ahavickat@nsw.gov.au</v>
      </c>
      <c r="H391" s="2" t="str">
        <f>_xlfn.XLOOKUP(C391,customers!$A:$A,customers!$G:$G,,0)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>
        <f>INDEX(products!$A$1:$G$49,MATCH(orders!$D391,products!$A$1:$A$49,0),MATCH(orders!K$1,products!$A$1:$G$1,0))</f>
        <v>0.5</v>
      </c>
      <c r="L391">
        <f>INDEX(products!$A$1:$G$49,MATCH(orders!$D391,products!$A$1:$A$49,0),MATCH(orders!L$1,products!$A$1:$G$1,0))</f>
        <v>7.77</v>
      </c>
    </row>
    <row r="392" spans="1:12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>
        <f>IF(_xlfn.XLOOKUP(orders!C392,customers!$A:$A,customers!$C:$C,,0)=0,"",_xlfn.XLOOKUP(orders!C392,customers!$A:$A,customers!$C:$C,,0))</f>
        <v>sdivinyau@ask.com</v>
      </c>
      <c r="H392" s="2" t="str">
        <f>_xlfn.XLOOKUP(C392,customers!$A:$A,customers!$G:$G,,0)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>
        <f>INDEX(products!$A$1:$G$49,MATCH(orders!$D392,products!$A$1:$A$49,0),MATCH(orders!K$1,products!$A$1:$G$1,0))</f>
        <v>0.5</v>
      </c>
      <c r="L392">
        <f>INDEX(products!$A$1:$G$49,MATCH(orders!$D392,products!$A$1:$A$49,0),MATCH(orders!L$1,products!$A$1:$G$1,0))</f>
        <v>7.29</v>
      </c>
    </row>
    <row r="393" spans="1:12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>
        <f>IF(_xlfn.XLOOKUP(orders!C393,customers!$A:$A,customers!$C:$C,,0)=0,"",_xlfn.XLOOKUP(orders!C393,customers!$A:$A,customers!$C:$C,,0))</f>
        <v>inorquoyav@businessweek.com</v>
      </c>
      <c r="H393" s="2" t="str">
        <f>_xlfn.XLOOKUP(C393,customers!$A:$A,customers!$G:$G,,0)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>
        <f>INDEX(products!$A$1:$G$49,MATCH(orders!$D393,products!$A$1:$A$49,0),MATCH(orders!K$1,products!$A$1:$G$1,0))</f>
        <v>0.5</v>
      </c>
      <c r="L393">
        <f>INDEX(products!$A$1:$G$49,MATCH(orders!$D393,products!$A$1:$A$49,0),MATCH(orders!L$1,products!$A$1:$G$1,0))</f>
        <v>6.75</v>
      </c>
    </row>
    <row r="394" spans="1:12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>
        <f>IF(_xlfn.XLOOKUP(orders!C394,customers!$A:$A,customers!$C:$C,,0)=0,"",_xlfn.XLOOKUP(orders!C394,customers!$A:$A,customers!$C:$C,,0))</f>
        <v>aiddisonaw@usa.gov</v>
      </c>
      <c r="H394" s="2" t="str">
        <f>_xlfn.XLOOKUP(C394,customers!$A:$A,customers!$G:$G,,0)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>
        <f>INDEX(products!$A$1:$G$49,MATCH(orders!$D394,products!$A$1:$A$49,0),MATCH(orders!K$1,products!$A$1:$G$1,0))</f>
        <v>1</v>
      </c>
      <c r="L394">
        <f>INDEX(products!$A$1:$G$49,MATCH(orders!$D394,products!$A$1:$A$49,0),MATCH(orders!L$1,products!$A$1:$G$1,0))</f>
        <v>14.85</v>
      </c>
    </row>
    <row r="395" spans="1:12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>
        <f>IF(_xlfn.XLOOKUP(orders!C395,customers!$A:$A,customers!$C:$C,,0)=0,"",_xlfn.XLOOKUP(orders!C395,customers!$A:$A,customers!$C:$C,,0))</f>
        <v>aiddisonaw@usa.gov</v>
      </c>
      <c r="H395" s="2" t="str">
        <f>_xlfn.XLOOKUP(C395,customers!$A:$A,customers!$G:$G,,0)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>
        <f>INDEX(products!$A$1:$G$49,MATCH(orders!$D395,products!$A$1:$A$49,0),MATCH(orders!K$1,products!$A$1:$G$1,0))</f>
        <v>0.2</v>
      </c>
      <c r="L395">
        <f>INDEX(products!$A$1:$G$49,MATCH(orders!$D395,products!$A$1:$A$49,0),MATCH(orders!L$1,products!$A$1:$G$1,0))</f>
        <v>3.8849999999999998</v>
      </c>
    </row>
    <row r="396" spans="1:12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>
        <f>IF(_xlfn.XLOOKUP(orders!C396,customers!$A:$A,customers!$C:$C,,0)=0,"",_xlfn.XLOOKUP(orders!C396,customers!$A:$A,customers!$C:$C,,0))</f>
        <v>rlongfielday@bluehost.com</v>
      </c>
      <c r="H396" s="2" t="str">
        <f>_xlfn.XLOOKUP(C396,customers!$A:$A,customers!$G:$G,,0)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>
        <f>INDEX(products!$A$1:$G$49,MATCH(orders!$D396,products!$A$1:$A$49,0),MATCH(orders!K$1,products!$A$1:$G$1,0))</f>
        <v>2.5</v>
      </c>
      <c r="L396">
        <f>INDEX(products!$A$1:$G$49,MATCH(orders!$D396,products!$A$1:$A$49,0),MATCH(orders!L$1,products!$A$1:$G$1,0))</f>
        <v>27.484999999999996</v>
      </c>
    </row>
    <row r="397" spans="1:12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>
        <f>IF(_xlfn.XLOOKUP(orders!C397,customers!$A:$A,customers!$C:$C,,0)=0,"",_xlfn.XLOOKUP(orders!C397,customers!$A:$A,customers!$C:$C,,0))</f>
        <v>gkislingburyaz@samsung.com</v>
      </c>
      <c r="H397" s="2" t="str">
        <f>_xlfn.XLOOKUP(C397,customers!$A:$A,customers!$G:$G,,0)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>
        <f>INDEX(products!$A$1:$G$49,MATCH(orders!$D397,products!$A$1:$A$49,0),MATCH(orders!K$1,products!$A$1:$G$1,0))</f>
        <v>0.5</v>
      </c>
      <c r="L397">
        <f>INDEX(products!$A$1:$G$49,MATCH(orders!$D397,products!$A$1:$A$49,0),MATCH(orders!L$1,products!$A$1:$G$1,0))</f>
        <v>7.77</v>
      </c>
    </row>
    <row r="398" spans="1:12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>
        <f>IF(_xlfn.XLOOKUP(orders!C398,customers!$A:$A,customers!$C:$C,,0)=0,"",_xlfn.XLOOKUP(orders!C398,customers!$A:$A,customers!$C:$C,,0))</f>
        <v>xgibbonsb0@artisteer.com</v>
      </c>
      <c r="H398" s="2" t="str">
        <f>_xlfn.XLOOKUP(C398,customers!$A:$A,customers!$G:$G,,0)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>
        <f>INDEX(products!$A$1:$G$49,MATCH(orders!$D398,products!$A$1:$A$49,0),MATCH(orders!K$1,products!$A$1:$G$1,0))</f>
        <v>0.5</v>
      </c>
      <c r="L398">
        <f>INDEX(products!$A$1:$G$49,MATCH(orders!$D398,products!$A$1:$A$49,0),MATCH(orders!L$1,products!$A$1:$G$1,0))</f>
        <v>7.77</v>
      </c>
    </row>
    <row r="399" spans="1:12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>
        <f>IF(_xlfn.XLOOKUP(orders!C399,customers!$A:$A,customers!$C:$C,,0)=0,"",_xlfn.XLOOKUP(orders!C399,customers!$A:$A,customers!$C:$C,,0))</f>
        <v>fparresb1@imageshack.us</v>
      </c>
      <c r="H399" s="2" t="str">
        <f>_xlfn.XLOOKUP(C399,customers!$A:$A,customers!$G:$G,,0)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>
        <f>INDEX(products!$A$1:$G$49,MATCH(orders!$D399,products!$A$1:$A$49,0),MATCH(orders!K$1,products!$A$1:$G$1,0))</f>
        <v>0.5</v>
      </c>
      <c r="L399">
        <f>INDEX(products!$A$1:$G$49,MATCH(orders!$D399,products!$A$1:$A$49,0),MATCH(orders!L$1,products!$A$1:$G$1,0))</f>
        <v>7.77</v>
      </c>
    </row>
    <row r="400" spans="1:12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>
        <f>IF(_xlfn.XLOOKUP(orders!C400,customers!$A:$A,customers!$C:$C,,0)=0,"",_xlfn.XLOOKUP(orders!C400,customers!$A:$A,customers!$C:$C,,0))</f>
        <v>gsibrayb2@wsj.com</v>
      </c>
      <c r="H400" s="2" t="str">
        <f>_xlfn.XLOOKUP(C400,customers!$A:$A,customers!$G:$G,,0)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>
        <f>INDEX(products!$A$1:$G$49,MATCH(orders!$D400,products!$A$1:$A$49,0),MATCH(orders!K$1,products!$A$1:$G$1,0))</f>
        <v>0.2</v>
      </c>
      <c r="L400">
        <f>INDEX(products!$A$1:$G$49,MATCH(orders!$D400,products!$A$1:$A$49,0),MATCH(orders!L$1,products!$A$1:$G$1,0))</f>
        <v>2.9849999999999999</v>
      </c>
    </row>
    <row r="401" spans="1:12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>
        <f>IF(_xlfn.XLOOKUP(orders!C401,customers!$A:$A,customers!$C:$C,,0)=0,"",_xlfn.XLOOKUP(orders!C401,customers!$A:$A,customers!$C:$C,,0))</f>
        <v>ihotchkinb3@mit.edu</v>
      </c>
      <c r="H401" s="2" t="str">
        <f>_xlfn.XLOOKUP(C401,customers!$A:$A,customers!$G:$G,,0)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>
        <f>INDEX(products!$A$1:$G$49,MATCH(orders!$D401,products!$A$1:$A$49,0),MATCH(orders!K$1,products!$A$1:$G$1,0))</f>
        <v>2.5</v>
      </c>
      <c r="L401">
        <f>INDEX(products!$A$1:$G$49,MATCH(orders!$D401,products!$A$1:$A$49,0),MATCH(orders!L$1,products!$A$1:$G$1,0))</f>
        <v>27.945</v>
      </c>
    </row>
    <row r="402" spans="1:12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>
        <f>IF(_xlfn.XLOOKUP(orders!C402,customers!$A:$A,customers!$C:$C,,0)=0,"",_xlfn.XLOOKUP(orders!C402,customers!$A:$A,customers!$C:$C,,0))</f>
        <v>nbroadberrieb4@gnu.org</v>
      </c>
      <c r="H402" s="2" t="str">
        <f>_xlfn.XLOOKUP(C402,customers!$A:$A,customers!$G:$G,,0)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>
        <f>INDEX(products!$A$1:$G$49,MATCH(orders!$D402,products!$A$1:$A$49,0),MATCH(orders!K$1,products!$A$1:$G$1,0))</f>
        <v>1</v>
      </c>
      <c r="L402">
        <f>INDEX(products!$A$1:$G$49,MATCH(orders!$D402,products!$A$1:$A$49,0),MATCH(orders!L$1,products!$A$1:$G$1,0))</f>
        <v>15.85</v>
      </c>
    </row>
    <row r="403" spans="1:12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>
        <f>IF(_xlfn.XLOOKUP(orders!C403,customers!$A:$A,customers!$C:$C,,0)=0,"",_xlfn.XLOOKUP(orders!C403,customers!$A:$A,customers!$C:$C,,0))</f>
        <v>rpithcockb5@yellowbook.com</v>
      </c>
      <c r="H403" s="2" t="str">
        <f>_xlfn.XLOOKUP(C403,customers!$A:$A,customers!$G:$G,,0)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>
        <f>INDEX(products!$A$1:$G$49,MATCH(orders!$D403,products!$A$1:$A$49,0),MATCH(orders!K$1,products!$A$1:$G$1,0))</f>
        <v>0.2</v>
      </c>
      <c r="L403">
        <f>INDEX(products!$A$1:$G$49,MATCH(orders!$D403,products!$A$1:$A$49,0),MATCH(orders!L$1,products!$A$1:$G$1,0))</f>
        <v>4.3650000000000002</v>
      </c>
    </row>
    <row r="404" spans="1:12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>
        <f>IF(_xlfn.XLOOKUP(orders!C404,customers!$A:$A,customers!$C:$C,,0)=0,"",_xlfn.XLOOKUP(orders!C404,customers!$A:$A,customers!$C:$C,,0))</f>
        <v>gcroysdaleb6@nih.gov</v>
      </c>
      <c r="H404" s="2" t="str">
        <f>_xlfn.XLOOKUP(C404,customers!$A:$A,customers!$G:$G,,0)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>
        <f>INDEX(products!$A$1:$G$49,MATCH(orders!$D404,products!$A$1:$A$49,0),MATCH(orders!K$1,products!$A$1:$G$1,0))</f>
        <v>1</v>
      </c>
      <c r="L404">
        <f>INDEX(products!$A$1:$G$49,MATCH(orders!$D404,products!$A$1:$A$49,0),MATCH(orders!L$1,products!$A$1:$G$1,0))</f>
        <v>8.9499999999999993</v>
      </c>
    </row>
    <row r="405" spans="1:12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>
        <f>IF(_xlfn.XLOOKUP(orders!C405,customers!$A:$A,customers!$C:$C,,0)=0,"",_xlfn.XLOOKUP(orders!C405,customers!$A:$A,customers!$C:$C,,0))</f>
        <v>bgozzettb7@github.com</v>
      </c>
      <c r="H405" s="2" t="str">
        <f>_xlfn.XLOOKUP(C405,customers!$A:$A,customers!$G:$G,,0)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>
        <f>INDEX(products!$A$1:$G$49,MATCH(orders!$D405,products!$A$1:$A$49,0),MATCH(orders!K$1,products!$A$1:$G$1,0))</f>
        <v>0.2</v>
      </c>
      <c r="L405">
        <f>INDEX(products!$A$1:$G$49,MATCH(orders!$D405,products!$A$1:$A$49,0),MATCH(orders!L$1,products!$A$1:$G$1,0))</f>
        <v>4.7549999999999999</v>
      </c>
    </row>
    <row r="406" spans="1:12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>
        <f>IF(_xlfn.XLOOKUP(orders!C406,customers!$A:$A,customers!$C:$C,,0)=0,"",_xlfn.XLOOKUP(orders!C406,customers!$A:$A,customers!$C:$C,,0))</f>
        <v>tcraggsb8@house.gov</v>
      </c>
      <c r="H406" s="2" t="str">
        <f>_xlfn.XLOOKUP(C406,customers!$A:$A,customers!$G:$G,,0)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>
        <f>INDEX(products!$A$1:$G$49,MATCH(orders!$D406,products!$A$1:$A$49,0),MATCH(orders!K$1,products!$A$1:$G$1,0))</f>
        <v>1</v>
      </c>
      <c r="L406">
        <f>INDEX(products!$A$1:$G$49,MATCH(orders!$D406,products!$A$1:$A$49,0),MATCH(orders!L$1,products!$A$1:$G$1,0))</f>
        <v>9.9499999999999993</v>
      </c>
    </row>
    <row r="407" spans="1:12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>
        <f>IF(_xlfn.XLOOKUP(orders!C407,customers!$A:$A,customers!$C:$C,,0)=0,"",_xlfn.XLOOKUP(orders!C407,customers!$A:$A,customers!$C:$C,,0))</f>
        <v>lcullrfordb9@xing.com</v>
      </c>
      <c r="H407" s="2" t="str">
        <f>_xlfn.XLOOKUP(C407,customers!$A:$A,customers!$G:$G,,0)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>
        <f>INDEX(products!$A$1:$G$49,MATCH(orders!$D407,products!$A$1:$A$49,0),MATCH(orders!K$1,products!$A$1:$G$1,0))</f>
        <v>0.5</v>
      </c>
      <c r="L407">
        <f>INDEX(products!$A$1:$G$49,MATCH(orders!$D407,products!$A$1:$A$49,0),MATCH(orders!L$1,products!$A$1:$G$1,0))</f>
        <v>8.25</v>
      </c>
    </row>
    <row r="408" spans="1:12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>
        <f>IF(_xlfn.XLOOKUP(orders!C408,customers!$A:$A,customers!$C:$C,,0)=0,"",_xlfn.XLOOKUP(orders!C408,customers!$A:$A,customers!$C:$C,,0))</f>
        <v>arizonba@xing.com</v>
      </c>
      <c r="H408" s="2" t="str">
        <f>_xlfn.XLOOKUP(C408,customers!$A:$A,customers!$G:$G,,0)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>
        <f>INDEX(products!$A$1:$G$49,MATCH(orders!$D408,products!$A$1:$A$49,0),MATCH(orders!K$1,products!$A$1:$G$1,0))</f>
        <v>1</v>
      </c>
      <c r="L408">
        <f>INDEX(products!$A$1:$G$49,MATCH(orders!$D408,products!$A$1:$A$49,0),MATCH(orders!L$1,products!$A$1:$G$1,0))</f>
        <v>13.75</v>
      </c>
    </row>
    <row r="409" spans="1:12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 t="str">
        <f>IF(_xlfn.XLOOKUP(orders!C409,customers!$A:$A,customers!$C:$C,,0)=0,"",_xlfn.XLOOKUP(orders!C409,customers!$A:$A,customers!$C:$C,,0))</f>
        <v/>
      </c>
      <c r="H409" s="2" t="str">
        <f>_xlfn.XLOOKUP(C409,customers!$A:$A,customers!$G:$G,,0)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>
        <f>INDEX(products!$A$1:$G$49,MATCH(orders!$D409,products!$A$1:$A$49,0),MATCH(orders!K$1,products!$A$1:$G$1,0))</f>
        <v>0.5</v>
      </c>
      <c r="L409">
        <f>INDEX(products!$A$1:$G$49,MATCH(orders!$D409,products!$A$1:$A$49,0),MATCH(orders!L$1,products!$A$1:$G$1,0))</f>
        <v>8.25</v>
      </c>
    </row>
    <row r="410" spans="1:12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>
        <f>IF(_xlfn.XLOOKUP(orders!C410,customers!$A:$A,customers!$C:$C,,0)=0,"",_xlfn.XLOOKUP(orders!C410,customers!$A:$A,customers!$C:$C,,0))</f>
        <v>fmiellbc@spiegel.de</v>
      </c>
      <c r="H410" s="2" t="str">
        <f>_xlfn.XLOOKUP(C410,customers!$A:$A,customers!$G:$G,,0)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>
        <f>INDEX(products!$A$1:$G$49,MATCH(orders!$D410,products!$A$1:$A$49,0),MATCH(orders!K$1,products!$A$1:$G$1,0))</f>
        <v>2.5</v>
      </c>
      <c r="L410">
        <f>INDEX(products!$A$1:$G$49,MATCH(orders!$D410,products!$A$1:$A$49,0),MATCH(orders!L$1,products!$A$1:$G$1,0))</f>
        <v>25.874999999999996</v>
      </c>
    </row>
    <row r="411" spans="1:12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 t="str">
        <f>IF(_xlfn.XLOOKUP(orders!C411,customers!$A:$A,customers!$C:$C,,0)=0,"",_xlfn.XLOOKUP(orders!C411,customers!$A:$A,customers!$C:$C,,0))</f>
        <v/>
      </c>
      <c r="H411" s="2" t="str">
        <f>_xlfn.XLOOKUP(C411,customers!$A:$A,customers!$G:$G,,0)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>
        <f>INDEX(products!$A$1:$G$49,MATCH(orders!$D411,products!$A$1:$A$49,0),MATCH(orders!K$1,products!$A$1:$G$1,0))</f>
        <v>1</v>
      </c>
      <c r="L411">
        <f>INDEX(products!$A$1:$G$49,MATCH(orders!$D411,products!$A$1:$A$49,0),MATCH(orders!L$1,products!$A$1:$G$1,0))</f>
        <v>15.85</v>
      </c>
    </row>
    <row r="412" spans="1:12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 t="str">
        <f>IF(_xlfn.XLOOKUP(orders!C412,customers!$A:$A,customers!$C:$C,,0)=0,"",_xlfn.XLOOKUP(orders!C412,customers!$A:$A,customers!$C:$C,,0))</f>
        <v/>
      </c>
      <c r="H412" s="2" t="str">
        <f>_xlfn.XLOOKUP(C412,customers!$A:$A,customers!$G:$G,,0)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>
        <f>INDEX(products!$A$1:$G$49,MATCH(orders!$D412,products!$A$1:$A$49,0),MATCH(orders!K$1,products!$A$1:$G$1,0))</f>
        <v>0.2</v>
      </c>
      <c r="L412">
        <f>INDEX(products!$A$1:$G$49,MATCH(orders!$D412,products!$A$1:$A$49,0),MATCH(orders!L$1,products!$A$1:$G$1,0))</f>
        <v>3.8849999999999998</v>
      </c>
    </row>
    <row r="413" spans="1:12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 t="str">
        <f>IF(_xlfn.XLOOKUP(orders!C413,customers!$A:$A,customers!$C:$C,,0)=0,"",_xlfn.XLOOKUP(orders!C413,customers!$A:$A,customers!$C:$C,,0))</f>
        <v/>
      </c>
      <c r="H413" s="2" t="str">
        <f>_xlfn.XLOOKUP(C413,customers!$A:$A,customers!$G:$G,,0)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>
        <f>INDEX(products!$A$1:$G$49,MATCH(orders!$D413,products!$A$1:$A$49,0),MATCH(orders!K$1,products!$A$1:$G$1,0))</f>
        <v>1</v>
      </c>
      <c r="L413">
        <f>INDEX(products!$A$1:$G$49,MATCH(orders!$D413,products!$A$1:$A$49,0),MATCH(orders!L$1,products!$A$1:$G$1,0))</f>
        <v>14.55</v>
      </c>
    </row>
    <row r="414" spans="1:12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 t="str">
        <f>IF(_xlfn.XLOOKUP(orders!C414,customers!$A:$A,customers!$C:$C,,0)=0,"",_xlfn.XLOOKUP(orders!C414,customers!$A:$A,customers!$C:$C,,0))</f>
        <v/>
      </c>
      <c r="H414" s="2" t="str">
        <f>_xlfn.XLOOKUP(C414,customers!$A:$A,customers!$G:$G,,0)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>
        <f>INDEX(products!$A$1:$G$49,MATCH(orders!$D414,products!$A$1:$A$49,0),MATCH(orders!K$1,products!$A$1:$G$1,0))</f>
        <v>1</v>
      </c>
      <c r="L414">
        <f>INDEX(products!$A$1:$G$49,MATCH(orders!$D414,products!$A$1:$A$49,0),MATCH(orders!L$1,products!$A$1:$G$1,0))</f>
        <v>11.25</v>
      </c>
    </row>
    <row r="415" spans="1:12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>
        <f>IF(_xlfn.XLOOKUP(orders!C415,customers!$A:$A,customers!$C:$C,,0)=0,"",_xlfn.XLOOKUP(orders!C415,customers!$A:$A,customers!$C:$C,,0))</f>
        <v>wspringallbh@jugem.jp</v>
      </c>
      <c r="H415" s="2" t="str">
        <f>_xlfn.XLOOKUP(C415,customers!$A:$A,customers!$G:$G,,0)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>
        <f>INDEX(products!$A$1:$G$49,MATCH(orders!$D415,products!$A$1:$A$49,0),MATCH(orders!K$1,products!$A$1:$G$1,0))</f>
        <v>2.5</v>
      </c>
      <c r="L415">
        <f>INDEX(products!$A$1:$G$49,MATCH(orders!$D415,products!$A$1:$A$49,0),MATCH(orders!L$1,products!$A$1:$G$1,0))</f>
        <v>36.454999999999998</v>
      </c>
    </row>
    <row r="416" spans="1:12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 t="str">
        <f>IF(_xlfn.XLOOKUP(orders!C416,customers!$A:$A,customers!$C:$C,,0)=0,"",_xlfn.XLOOKUP(orders!C416,customers!$A:$A,customers!$C:$C,,0))</f>
        <v/>
      </c>
      <c r="H416" s="2" t="str">
        <f>_xlfn.XLOOKUP(C416,customers!$A:$A,customers!$G:$G,,0)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>
        <f>INDEX(products!$A$1:$G$49,MATCH(orders!$D416,products!$A$1:$A$49,0),MATCH(orders!K$1,products!$A$1:$G$1,0))</f>
        <v>0.2</v>
      </c>
      <c r="L416">
        <f>INDEX(products!$A$1:$G$49,MATCH(orders!$D416,products!$A$1:$A$49,0),MATCH(orders!L$1,products!$A$1:$G$1,0))</f>
        <v>3.5849999999999995</v>
      </c>
    </row>
    <row r="417" spans="1:12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>
        <f>IF(_xlfn.XLOOKUP(orders!C417,customers!$A:$A,customers!$C:$C,,0)=0,"",_xlfn.XLOOKUP(orders!C417,customers!$A:$A,customers!$C:$C,,0))</f>
        <v>ghawkyensbj@census.gov</v>
      </c>
      <c r="H417" s="2" t="str">
        <f>_xlfn.XLOOKUP(C417,customers!$A:$A,customers!$G:$G,,0)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>
        <f>INDEX(products!$A$1:$G$49,MATCH(orders!$D417,products!$A$1:$A$49,0),MATCH(orders!K$1,products!$A$1:$G$1,0))</f>
        <v>0.2</v>
      </c>
      <c r="L417">
        <f>INDEX(products!$A$1:$G$49,MATCH(orders!$D417,products!$A$1:$A$49,0),MATCH(orders!L$1,products!$A$1:$G$1,0))</f>
        <v>2.9849999999999999</v>
      </c>
    </row>
    <row r="418" spans="1:12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 t="str">
        <f>IF(_xlfn.XLOOKUP(orders!C418,customers!$A:$A,customers!$C:$C,,0)=0,"",_xlfn.XLOOKUP(orders!C418,customers!$A:$A,customers!$C:$C,,0))</f>
        <v/>
      </c>
      <c r="H418" s="2" t="str">
        <f>_xlfn.XLOOKUP(C418,customers!$A:$A,customers!$G:$G,,0)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>
        <f>INDEX(products!$A$1:$G$49,MATCH(orders!$D418,products!$A$1:$A$49,0),MATCH(orders!K$1,products!$A$1:$G$1,0))</f>
        <v>0.5</v>
      </c>
      <c r="L418">
        <f>INDEX(products!$A$1:$G$49,MATCH(orders!$D418,products!$A$1:$A$49,0),MATCH(orders!L$1,products!$A$1:$G$1,0))</f>
        <v>7.77</v>
      </c>
    </row>
    <row r="419" spans="1:12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 t="str">
        <f>IF(_xlfn.XLOOKUP(orders!C419,customers!$A:$A,customers!$C:$C,,0)=0,"",_xlfn.XLOOKUP(orders!C419,customers!$A:$A,customers!$C:$C,,0))</f>
        <v/>
      </c>
      <c r="H419" s="2" t="str">
        <f>_xlfn.XLOOKUP(C419,customers!$A:$A,customers!$G:$G,,0)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>
        <f>INDEX(products!$A$1:$G$49,MATCH(orders!$D419,products!$A$1:$A$49,0),MATCH(orders!K$1,products!$A$1:$G$1,0))</f>
        <v>2.5</v>
      </c>
      <c r="L419">
        <f>INDEX(products!$A$1:$G$49,MATCH(orders!$D419,products!$A$1:$A$49,0),MATCH(orders!L$1,products!$A$1:$G$1,0))</f>
        <v>29.784999999999997</v>
      </c>
    </row>
    <row r="420" spans="1:12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>
        <f>IF(_xlfn.XLOOKUP(orders!C420,customers!$A:$A,customers!$C:$C,,0)=0,"",_xlfn.XLOOKUP(orders!C420,customers!$A:$A,customers!$C:$C,,0))</f>
        <v>bmcgilvrabm@so-net.ne.jp</v>
      </c>
      <c r="H420" s="2" t="str">
        <f>_xlfn.XLOOKUP(C420,customers!$A:$A,customers!$G:$G,,0)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>
        <f>INDEX(products!$A$1:$G$49,MATCH(orders!$D420,products!$A$1:$A$49,0),MATCH(orders!K$1,products!$A$1:$G$1,0))</f>
        <v>2.5</v>
      </c>
      <c r="L420">
        <f>INDEX(products!$A$1:$G$49,MATCH(orders!$D420,products!$A$1:$A$49,0),MATCH(orders!L$1,products!$A$1:$G$1,0))</f>
        <v>29.784999999999997</v>
      </c>
    </row>
    <row r="421" spans="1:12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>
        <f>IF(_xlfn.XLOOKUP(orders!C421,customers!$A:$A,customers!$C:$C,,0)=0,"",_xlfn.XLOOKUP(orders!C421,customers!$A:$A,customers!$C:$C,,0))</f>
        <v>adanzeybn@github.com</v>
      </c>
      <c r="H421" s="2" t="str">
        <f>_xlfn.XLOOKUP(C421,customers!$A:$A,customers!$G:$G,,0)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>
        <f>INDEX(products!$A$1:$G$49,MATCH(orders!$D421,products!$A$1:$A$49,0),MATCH(orders!K$1,products!$A$1:$G$1,0))</f>
        <v>0.5</v>
      </c>
      <c r="L421">
        <f>INDEX(products!$A$1:$G$49,MATCH(orders!$D421,products!$A$1:$A$49,0),MATCH(orders!L$1,products!$A$1:$G$1,0))</f>
        <v>8.73</v>
      </c>
    </row>
    <row r="422" spans="1:12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>
        <f>IF(_xlfn.XLOOKUP(orders!C422,customers!$A:$A,customers!$C:$C,,0)=0,"",_xlfn.XLOOKUP(orders!C422,customers!$A:$A,customers!$C:$C,,0))</f>
        <v>tfarraac@behance.net</v>
      </c>
      <c r="H422" s="2" t="str">
        <f>_xlfn.XLOOKUP(C422,customers!$A:$A,customers!$G:$G,,0)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>
        <f>INDEX(products!$A$1:$G$49,MATCH(orders!$D422,products!$A$1:$A$49,0),MATCH(orders!K$1,products!$A$1:$G$1,0))</f>
        <v>0.5</v>
      </c>
      <c r="L422">
        <f>INDEX(products!$A$1:$G$49,MATCH(orders!$D422,products!$A$1:$A$49,0),MATCH(orders!L$1,products!$A$1:$G$1,0))</f>
        <v>7.77</v>
      </c>
    </row>
    <row r="423" spans="1:12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>
        <f>IF(_xlfn.XLOOKUP(orders!C423,customers!$A:$A,customers!$C:$C,,0)=0,"",_xlfn.XLOOKUP(orders!C423,customers!$A:$A,customers!$C:$C,,0))</f>
        <v>tfarraac@behance.net</v>
      </c>
      <c r="H423" s="2" t="str">
        <f>_xlfn.XLOOKUP(C423,customers!$A:$A,customers!$G:$G,,0)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>
        <f>INDEX(products!$A$1:$G$49,MATCH(orders!$D423,products!$A$1:$A$49,0),MATCH(orders!K$1,products!$A$1:$G$1,0))</f>
        <v>2.5</v>
      </c>
      <c r="L423">
        <f>INDEX(products!$A$1:$G$49,MATCH(orders!$D423,products!$A$1:$A$49,0),MATCH(orders!L$1,products!$A$1:$G$1,0))</f>
        <v>22.884999999999998</v>
      </c>
    </row>
    <row r="424" spans="1:12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 t="str">
        <f>IF(_xlfn.XLOOKUP(orders!C424,customers!$A:$A,customers!$C:$C,,0)=0,"",_xlfn.XLOOKUP(orders!C424,customers!$A:$A,customers!$C:$C,,0))</f>
        <v/>
      </c>
      <c r="H424" s="2" t="str">
        <f>_xlfn.XLOOKUP(C424,customers!$A:$A,customers!$G:$G,,0)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>
        <f>INDEX(products!$A$1:$G$49,MATCH(orders!$D424,products!$A$1:$A$49,0),MATCH(orders!K$1,products!$A$1:$G$1,0))</f>
        <v>0.5</v>
      </c>
      <c r="L424">
        <f>INDEX(products!$A$1:$G$49,MATCH(orders!$D424,products!$A$1:$A$49,0),MATCH(orders!L$1,products!$A$1:$G$1,0))</f>
        <v>5.97</v>
      </c>
    </row>
    <row r="425" spans="1:12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 t="str">
        <f>IF(_xlfn.XLOOKUP(orders!C425,customers!$A:$A,customers!$C:$C,,0)=0,"",_xlfn.XLOOKUP(orders!C425,customers!$A:$A,customers!$C:$C,,0))</f>
        <v/>
      </c>
      <c r="H425" s="2" t="str">
        <f>_xlfn.XLOOKUP(C425,customers!$A:$A,customers!$G:$G,,0)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>
        <f>INDEX(products!$A$1:$G$49,MATCH(orders!$D425,products!$A$1:$A$49,0),MATCH(orders!K$1,products!$A$1:$G$1,0))</f>
        <v>0.5</v>
      </c>
      <c r="L425">
        <f>INDEX(products!$A$1:$G$49,MATCH(orders!$D425,products!$A$1:$A$49,0),MATCH(orders!L$1,products!$A$1:$G$1,0))</f>
        <v>5.97</v>
      </c>
    </row>
    <row r="426" spans="1:12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>
        <f>IF(_xlfn.XLOOKUP(orders!C426,customers!$A:$A,customers!$C:$C,,0)=0,"",_xlfn.XLOOKUP(orders!C426,customers!$A:$A,customers!$C:$C,,0))</f>
        <v>ydombrellbs@dedecms.com</v>
      </c>
      <c r="H426" s="2" t="str">
        <f>_xlfn.XLOOKUP(C426,customers!$A:$A,customers!$G:$G,,0)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>
        <f>INDEX(products!$A$1:$G$49,MATCH(orders!$D426,products!$A$1:$A$49,0),MATCH(orders!K$1,products!$A$1:$G$1,0))</f>
        <v>0.5</v>
      </c>
      <c r="L426">
        <f>INDEX(products!$A$1:$G$49,MATCH(orders!$D426,products!$A$1:$A$49,0),MATCH(orders!L$1,products!$A$1:$G$1,0))</f>
        <v>8.91</v>
      </c>
    </row>
    <row r="427" spans="1:12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>
        <f>IF(_xlfn.XLOOKUP(orders!C427,customers!$A:$A,customers!$C:$C,,0)=0,"",_xlfn.XLOOKUP(orders!C427,customers!$A:$A,customers!$C:$C,,0))</f>
        <v>adarthbt@t.co</v>
      </c>
      <c r="H427" s="2" t="str">
        <f>_xlfn.XLOOKUP(C427,customers!$A:$A,customers!$G:$G,,0)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>
        <f>INDEX(products!$A$1:$G$49,MATCH(orders!$D427,products!$A$1:$A$49,0),MATCH(orders!K$1,products!$A$1:$G$1,0))</f>
        <v>1</v>
      </c>
      <c r="L427">
        <f>INDEX(products!$A$1:$G$49,MATCH(orders!$D427,products!$A$1:$A$49,0),MATCH(orders!L$1,products!$A$1:$G$1,0))</f>
        <v>8.9499999999999993</v>
      </c>
    </row>
    <row r="428" spans="1:12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>
        <f>IF(_xlfn.XLOOKUP(orders!C428,customers!$A:$A,customers!$C:$C,,0)=0,"",_xlfn.XLOOKUP(orders!C428,customers!$A:$A,customers!$C:$C,,0))</f>
        <v>mdarrigoebu@hud.gov</v>
      </c>
      <c r="H428" s="2" t="str">
        <f>_xlfn.XLOOKUP(C428,customers!$A:$A,customers!$G:$G,,0)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>
        <f>INDEX(products!$A$1:$G$49,MATCH(orders!$D428,products!$A$1:$A$49,0),MATCH(orders!K$1,products!$A$1:$G$1,0))</f>
        <v>0.2</v>
      </c>
      <c r="L428">
        <f>INDEX(products!$A$1:$G$49,MATCH(orders!$D428,products!$A$1:$A$49,0),MATCH(orders!L$1,products!$A$1:$G$1,0))</f>
        <v>3.5849999999999995</v>
      </c>
    </row>
    <row r="429" spans="1:12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 t="str">
        <f>IF(_xlfn.XLOOKUP(orders!C429,customers!$A:$A,customers!$C:$C,,0)=0,"",_xlfn.XLOOKUP(orders!C429,customers!$A:$A,customers!$C:$C,,0))</f>
        <v/>
      </c>
      <c r="H429" s="2" t="str">
        <f>_xlfn.XLOOKUP(C429,customers!$A:$A,customers!$G:$G,,0)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>
        <f>INDEX(products!$A$1:$G$49,MATCH(orders!$D429,products!$A$1:$A$49,0),MATCH(orders!K$1,products!$A$1:$G$1,0))</f>
        <v>2.5</v>
      </c>
      <c r="L429">
        <f>INDEX(products!$A$1:$G$49,MATCH(orders!$D429,products!$A$1:$A$49,0),MATCH(orders!L$1,products!$A$1:$G$1,0))</f>
        <v>25.874999999999996</v>
      </c>
    </row>
    <row r="430" spans="1:12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>
        <f>IF(_xlfn.XLOOKUP(orders!C430,customers!$A:$A,customers!$C:$C,,0)=0,"",_xlfn.XLOOKUP(orders!C430,customers!$A:$A,customers!$C:$C,,0))</f>
        <v>mackrillbw@bandcamp.com</v>
      </c>
      <c r="H430" s="2" t="str">
        <f>_xlfn.XLOOKUP(C430,customers!$A:$A,customers!$G:$G,,0)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>
        <f>INDEX(products!$A$1:$G$49,MATCH(orders!$D430,products!$A$1:$A$49,0),MATCH(orders!K$1,products!$A$1:$G$1,0))</f>
        <v>1</v>
      </c>
      <c r="L430">
        <f>INDEX(products!$A$1:$G$49,MATCH(orders!$D430,products!$A$1:$A$49,0),MATCH(orders!L$1,products!$A$1:$G$1,0))</f>
        <v>11.95</v>
      </c>
    </row>
    <row r="431" spans="1:12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>
        <f>IF(_xlfn.XLOOKUP(orders!C431,customers!$A:$A,customers!$C:$C,,0)=0,"",_xlfn.XLOOKUP(orders!C431,customers!$A:$A,customers!$C:$C,,0))</f>
        <v>tfarraac@behance.net</v>
      </c>
      <c r="H431" s="2" t="str">
        <f>_xlfn.XLOOKUP(C431,customers!$A:$A,customers!$G:$G,,0)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>
        <f>INDEX(products!$A$1:$G$49,MATCH(orders!$D431,products!$A$1:$A$49,0),MATCH(orders!K$1,products!$A$1:$G$1,0))</f>
        <v>1</v>
      </c>
      <c r="L431">
        <f>INDEX(products!$A$1:$G$49,MATCH(orders!$D431,products!$A$1:$A$49,0),MATCH(orders!L$1,products!$A$1:$G$1,0))</f>
        <v>12.95</v>
      </c>
    </row>
    <row r="432" spans="1:12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>
        <f>IF(_xlfn.XLOOKUP(orders!C432,customers!$A:$A,customers!$C:$C,,0)=0,"",_xlfn.XLOOKUP(orders!C432,customers!$A:$A,customers!$C:$C,,0))</f>
        <v>mkippenby@dion.ne.jp</v>
      </c>
      <c r="H432" s="2" t="str">
        <f>_xlfn.XLOOKUP(C432,customers!$A:$A,customers!$G:$G,,0)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>
        <f>INDEX(products!$A$1:$G$49,MATCH(orders!$D432,products!$A$1:$A$49,0),MATCH(orders!K$1,products!$A$1:$G$1,0))</f>
        <v>0.2</v>
      </c>
      <c r="L432">
        <f>INDEX(products!$A$1:$G$49,MATCH(orders!$D432,products!$A$1:$A$49,0),MATCH(orders!L$1,products!$A$1:$G$1,0))</f>
        <v>2.6849999999999996</v>
      </c>
    </row>
    <row r="433" spans="1:12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>
        <f>IF(_xlfn.XLOOKUP(orders!C433,customers!$A:$A,customers!$C:$C,,0)=0,"",_xlfn.XLOOKUP(orders!C433,customers!$A:$A,customers!$C:$C,,0))</f>
        <v>wransonbz@ted.com</v>
      </c>
      <c r="H433" s="2" t="str">
        <f>_xlfn.XLOOKUP(C433,customers!$A:$A,customers!$G:$G,,0)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>
        <f>INDEX(products!$A$1:$G$49,MATCH(orders!$D433,products!$A$1:$A$49,0),MATCH(orders!K$1,products!$A$1:$G$1,0))</f>
        <v>2.5</v>
      </c>
      <c r="L433">
        <f>INDEX(products!$A$1:$G$49,MATCH(orders!$D433,products!$A$1:$A$49,0),MATCH(orders!L$1,products!$A$1:$G$1,0))</f>
        <v>27.945</v>
      </c>
    </row>
    <row r="434" spans="1:12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 t="str">
        <f>IF(_xlfn.XLOOKUP(orders!C434,customers!$A:$A,customers!$C:$C,,0)=0,"",_xlfn.XLOOKUP(orders!C434,customers!$A:$A,customers!$C:$C,,0))</f>
        <v/>
      </c>
      <c r="H434" s="2" t="str">
        <f>_xlfn.XLOOKUP(C434,customers!$A:$A,customers!$G:$G,,0)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>
        <f>INDEX(products!$A$1:$G$49,MATCH(orders!$D434,products!$A$1:$A$49,0),MATCH(orders!K$1,products!$A$1:$G$1,0))</f>
        <v>1</v>
      </c>
      <c r="L434">
        <f>INDEX(products!$A$1:$G$49,MATCH(orders!$D434,products!$A$1:$A$49,0),MATCH(orders!L$1,products!$A$1:$G$1,0))</f>
        <v>11.25</v>
      </c>
    </row>
    <row r="435" spans="1:12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>
        <f>IF(_xlfn.XLOOKUP(orders!C435,customers!$A:$A,customers!$C:$C,,0)=0,"",_xlfn.XLOOKUP(orders!C435,customers!$A:$A,customers!$C:$C,,0))</f>
        <v>lrignoldc1@miibeian.gov.cn</v>
      </c>
      <c r="H435" s="2" t="str">
        <f>_xlfn.XLOOKUP(C435,customers!$A:$A,customers!$G:$G,,0)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>
        <f>INDEX(products!$A$1:$G$49,MATCH(orders!$D435,products!$A$1:$A$49,0),MATCH(orders!K$1,products!$A$1:$G$1,0))</f>
        <v>2.5</v>
      </c>
      <c r="L435">
        <f>INDEX(products!$A$1:$G$49,MATCH(orders!$D435,products!$A$1:$A$49,0),MATCH(orders!L$1,products!$A$1:$G$1,0))</f>
        <v>33.464999999999996</v>
      </c>
    </row>
    <row r="436" spans="1:12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 t="str">
        <f>IF(_xlfn.XLOOKUP(orders!C436,customers!$A:$A,customers!$C:$C,,0)=0,"",_xlfn.XLOOKUP(orders!C436,customers!$A:$A,customers!$C:$C,,0))</f>
        <v/>
      </c>
      <c r="H436" s="2" t="str">
        <f>_xlfn.XLOOKUP(C436,customers!$A:$A,customers!$G:$G,,0)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>
        <f>INDEX(products!$A$1:$G$49,MATCH(orders!$D436,products!$A$1:$A$49,0),MATCH(orders!K$1,products!$A$1:$G$1,0))</f>
        <v>1</v>
      </c>
      <c r="L436">
        <f>INDEX(products!$A$1:$G$49,MATCH(orders!$D436,products!$A$1:$A$49,0),MATCH(orders!L$1,products!$A$1:$G$1,0))</f>
        <v>11.25</v>
      </c>
    </row>
    <row r="437" spans="1:12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>
        <f>IF(_xlfn.XLOOKUP(orders!C437,customers!$A:$A,customers!$C:$C,,0)=0,"",_xlfn.XLOOKUP(orders!C437,customers!$A:$A,customers!$C:$C,,0))</f>
        <v>crowthornc3@msn.com</v>
      </c>
      <c r="H437" s="2" t="str">
        <f>_xlfn.XLOOKUP(C437,customers!$A:$A,customers!$G:$G,,0)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>
        <f>INDEX(products!$A$1:$G$49,MATCH(orders!$D437,products!$A$1:$A$49,0),MATCH(orders!K$1,products!$A$1:$G$1,0))</f>
        <v>0.5</v>
      </c>
      <c r="L437">
        <f>INDEX(products!$A$1:$G$49,MATCH(orders!$D437,products!$A$1:$A$49,0),MATCH(orders!L$1,products!$A$1:$G$1,0))</f>
        <v>8.25</v>
      </c>
    </row>
    <row r="438" spans="1:12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>
        <f>IF(_xlfn.XLOOKUP(orders!C438,customers!$A:$A,customers!$C:$C,,0)=0,"",_xlfn.XLOOKUP(orders!C438,customers!$A:$A,customers!$C:$C,,0))</f>
        <v>orylandc4@deviantart.com</v>
      </c>
      <c r="H438" s="2" t="str">
        <f>_xlfn.XLOOKUP(C438,customers!$A:$A,customers!$G:$G,,0)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>
        <f>INDEX(products!$A$1:$G$49,MATCH(orders!$D438,products!$A$1:$A$49,0),MATCH(orders!K$1,products!$A$1:$G$1,0))</f>
        <v>0.2</v>
      </c>
      <c r="L438">
        <f>INDEX(products!$A$1:$G$49,MATCH(orders!$D438,products!$A$1:$A$49,0),MATCH(orders!L$1,products!$A$1:$G$1,0))</f>
        <v>4.7549999999999999</v>
      </c>
    </row>
    <row r="439" spans="1:12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 t="str">
        <f>IF(_xlfn.XLOOKUP(orders!C439,customers!$A:$A,customers!$C:$C,,0)=0,"",_xlfn.XLOOKUP(orders!C439,customers!$A:$A,customers!$C:$C,,0))</f>
        <v/>
      </c>
      <c r="H439" s="2" t="str">
        <f>_xlfn.XLOOKUP(C439,customers!$A:$A,customers!$G:$G,,0)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>
        <f>INDEX(products!$A$1:$G$49,MATCH(orders!$D439,products!$A$1:$A$49,0),MATCH(orders!K$1,products!$A$1:$G$1,0))</f>
        <v>2.5</v>
      </c>
      <c r="L439">
        <f>INDEX(products!$A$1:$G$49,MATCH(orders!$D439,products!$A$1:$A$49,0),MATCH(orders!L$1,products!$A$1:$G$1,0))</f>
        <v>29.784999999999997</v>
      </c>
    </row>
    <row r="440" spans="1:12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>
        <f>IF(_xlfn.XLOOKUP(orders!C440,customers!$A:$A,customers!$C:$C,,0)=0,"",_xlfn.XLOOKUP(orders!C440,customers!$A:$A,customers!$C:$C,,0))</f>
        <v>msesonck@census.gov</v>
      </c>
      <c r="H440" s="2" t="str">
        <f>_xlfn.XLOOKUP(C440,customers!$A:$A,customers!$G:$G,,0)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>
        <f>INDEX(products!$A$1:$G$49,MATCH(orders!$D440,products!$A$1:$A$49,0),MATCH(orders!K$1,products!$A$1:$G$1,0))</f>
        <v>0.5</v>
      </c>
      <c r="L440">
        <f>INDEX(products!$A$1:$G$49,MATCH(orders!$D440,products!$A$1:$A$49,0),MATCH(orders!L$1,products!$A$1:$G$1,0))</f>
        <v>7.77</v>
      </c>
    </row>
    <row r="441" spans="1:12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>
        <f>IF(_xlfn.XLOOKUP(orders!C441,customers!$A:$A,customers!$C:$C,,0)=0,"",_xlfn.XLOOKUP(orders!C441,customers!$A:$A,customers!$C:$C,,0))</f>
        <v>craglessc7@webmd.com</v>
      </c>
      <c r="H441" s="2" t="str">
        <f>_xlfn.XLOOKUP(C441,customers!$A:$A,customers!$G:$G,,0)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>
        <f>INDEX(products!$A$1:$G$49,MATCH(orders!$D441,products!$A$1:$A$49,0),MATCH(orders!K$1,products!$A$1:$G$1,0))</f>
        <v>0.5</v>
      </c>
      <c r="L441">
        <f>INDEX(products!$A$1:$G$49,MATCH(orders!$D441,products!$A$1:$A$49,0),MATCH(orders!L$1,products!$A$1:$G$1,0))</f>
        <v>8.91</v>
      </c>
    </row>
    <row r="442" spans="1:12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>
        <f>IF(_xlfn.XLOOKUP(orders!C442,customers!$A:$A,customers!$C:$C,,0)=0,"",_xlfn.XLOOKUP(orders!C442,customers!$A:$A,customers!$C:$C,,0))</f>
        <v>fhollowsc8@blogtalkradio.com</v>
      </c>
      <c r="H442" s="2" t="str">
        <f>_xlfn.XLOOKUP(C442,customers!$A:$A,customers!$G:$G,,0)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>
        <f>INDEX(products!$A$1:$G$49,MATCH(orders!$D442,products!$A$1:$A$49,0),MATCH(orders!K$1,products!$A$1:$G$1,0))</f>
        <v>2.5</v>
      </c>
      <c r="L442">
        <f>INDEX(products!$A$1:$G$49,MATCH(orders!$D442,products!$A$1:$A$49,0),MATCH(orders!L$1,products!$A$1:$G$1,0))</f>
        <v>25.874999999999996</v>
      </c>
    </row>
    <row r="443" spans="1:12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>
        <f>IF(_xlfn.XLOOKUP(orders!C443,customers!$A:$A,customers!$C:$C,,0)=0,"",_xlfn.XLOOKUP(orders!C443,customers!$A:$A,customers!$C:$C,,0))</f>
        <v>llathleiffc9@nationalgeographic.com</v>
      </c>
      <c r="H443" s="2" t="str">
        <f>_xlfn.XLOOKUP(C443,customers!$A:$A,customers!$G:$G,,0)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>
        <f>INDEX(products!$A$1:$G$49,MATCH(orders!$D443,products!$A$1:$A$49,0),MATCH(orders!K$1,products!$A$1:$G$1,0))</f>
        <v>1</v>
      </c>
      <c r="L443">
        <f>INDEX(products!$A$1:$G$49,MATCH(orders!$D443,products!$A$1:$A$49,0),MATCH(orders!L$1,products!$A$1:$G$1,0))</f>
        <v>12.15</v>
      </c>
    </row>
    <row r="444" spans="1:12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>
        <f>IF(_xlfn.XLOOKUP(orders!C444,customers!$A:$A,customers!$C:$C,,0)=0,"",_xlfn.XLOOKUP(orders!C444,customers!$A:$A,customers!$C:$C,,0))</f>
        <v>kheadsca@jalbum.net</v>
      </c>
      <c r="H444" s="2" t="str">
        <f>_xlfn.XLOOKUP(C444,customers!$A:$A,customers!$G:$G,,0)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>
        <f>INDEX(products!$A$1:$G$49,MATCH(orders!$D444,products!$A$1:$A$49,0),MATCH(orders!K$1,products!$A$1:$G$1,0))</f>
        <v>0.5</v>
      </c>
      <c r="L444">
        <f>INDEX(products!$A$1:$G$49,MATCH(orders!$D444,products!$A$1:$A$49,0),MATCH(orders!L$1,products!$A$1:$G$1,0))</f>
        <v>7.169999999999999</v>
      </c>
    </row>
    <row r="445" spans="1:12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>
        <f>IF(_xlfn.XLOOKUP(orders!C445,customers!$A:$A,customers!$C:$C,,0)=0,"",_xlfn.XLOOKUP(orders!C445,customers!$A:$A,customers!$C:$C,,0))</f>
        <v>tbownecb@unicef.org</v>
      </c>
      <c r="H445" s="2" t="str">
        <f>_xlfn.XLOOKUP(C445,customers!$A:$A,customers!$G:$G,,0)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>
        <f>INDEX(products!$A$1:$G$49,MATCH(orders!$D445,products!$A$1:$A$49,0),MATCH(orders!K$1,products!$A$1:$G$1,0))</f>
        <v>0.2</v>
      </c>
      <c r="L445">
        <f>INDEX(products!$A$1:$G$49,MATCH(orders!$D445,products!$A$1:$A$49,0),MATCH(orders!L$1,products!$A$1:$G$1,0))</f>
        <v>4.4550000000000001</v>
      </c>
    </row>
    <row r="446" spans="1:12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>
        <f>IF(_xlfn.XLOOKUP(orders!C446,customers!$A:$A,customers!$C:$C,,0)=0,"",_xlfn.XLOOKUP(orders!C446,customers!$A:$A,customers!$C:$C,,0))</f>
        <v>rjacquemardcc@acquirethisname.com</v>
      </c>
      <c r="H446" s="2" t="str">
        <f>_xlfn.XLOOKUP(C446,customers!$A:$A,customers!$G:$G,,0)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>
        <f>INDEX(products!$A$1:$G$49,MATCH(orders!$D446,products!$A$1:$A$49,0),MATCH(orders!K$1,products!$A$1:$G$1,0))</f>
        <v>0.2</v>
      </c>
      <c r="L446">
        <f>INDEX(products!$A$1:$G$49,MATCH(orders!$D446,products!$A$1:$A$49,0),MATCH(orders!L$1,products!$A$1:$G$1,0))</f>
        <v>4.125</v>
      </c>
    </row>
    <row r="447" spans="1:12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>
        <f>IF(_xlfn.XLOOKUP(orders!C447,customers!$A:$A,customers!$C:$C,,0)=0,"",_xlfn.XLOOKUP(orders!C447,customers!$A:$A,customers!$C:$C,,0))</f>
        <v>kwarmancd@printfriendly.com</v>
      </c>
      <c r="H447" s="2" t="str">
        <f>_xlfn.XLOOKUP(C447,customers!$A:$A,customers!$G:$G,,0)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>
        <f>INDEX(products!$A$1:$G$49,MATCH(orders!$D447,products!$A$1:$A$49,0),MATCH(orders!K$1,products!$A$1:$G$1,0))</f>
        <v>2.5</v>
      </c>
      <c r="L447">
        <f>INDEX(products!$A$1:$G$49,MATCH(orders!$D447,products!$A$1:$A$49,0),MATCH(orders!L$1,products!$A$1:$G$1,0))</f>
        <v>33.464999999999996</v>
      </c>
    </row>
    <row r="448" spans="1:12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>
        <f>IF(_xlfn.XLOOKUP(orders!C448,customers!$A:$A,customers!$C:$C,,0)=0,"",_xlfn.XLOOKUP(orders!C448,customers!$A:$A,customers!$C:$C,,0))</f>
        <v>wcholomince@about.com</v>
      </c>
      <c r="H448" s="2" t="str">
        <f>_xlfn.XLOOKUP(C448,customers!$A:$A,customers!$G:$G,,0)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>
        <f>INDEX(products!$A$1:$G$49,MATCH(orders!$D448,products!$A$1:$A$49,0),MATCH(orders!K$1,products!$A$1:$G$1,0))</f>
        <v>0.5</v>
      </c>
      <c r="L448">
        <f>INDEX(products!$A$1:$G$49,MATCH(orders!$D448,products!$A$1:$A$49,0),MATCH(orders!L$1,products!$A$1:$G$1,0))</f>
        <v>8.73</v>
      </c>
    </row>
    <row r="449" spans="1:12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>
        <f>IF(_xlfn.XLOOKUP(orders!C449,customers!$A:$A,customers!$C:$C,,0)=0,"",_xlfn.XLOOKUP(orders!C449,customers!$A:$A,customers!$C:$C,,0))</f>
        <v>abraidmancf@census.gov</v>
      </c>
      <c r="H449" s="2" t="str">
        <f>_xlfn.XLOOKUP(C449,customers!$A:$A,customers!$G:$G,,0)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>
        <f>INDEX(products!$A$1:$G$49,MATCH(orders!$D449,products!$A$1:$A$49,0),MATCH(orders!K$1,products!$A$1:$G$1,0))</f>
        <v>0.5</v>
      </c>
      <c r="L449">
        <f>INDEX(products!$A$1:$G$49,MATCH(orders!$D449,products!$A$1:$A$49,0),MATCH(orders!L$1,products!$A$1:$G$1,0))</f>
        <v>5.97</v>
      </c>
    </row>
    <row r="450" spans="1:12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>
        <f>IF(_xlfn.XLOOKUP(orders!C450,customers!$A:$A,customers!$C:$C,,0)=0,"",_xlfn.XLOOKUP(orders!C450,customers!$A:$A,customers!$C:$C,,0))</f>
        <v>pdurbancg@symantec.com</v>
      </c>
      <c r="H450" s="2" t="str">
        <f>_xlfn.XLOOKUP(C450,customers!$A:$A,customers!$G:$G,,0)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>
        <f>INDEX(products!$A$1:$G$49,MATCH(orders!$D450,products!$A$1:$A$49,0),MATCH(orders!K$1,products!$A$1:$G$1,0))</f>
        <v>0.5</v>
      </c>
      <c r="L450">
        <f>INDEX(products!$A$1:$G$49,MATCH(orders!$D450,products!$A$1:$A$49,0),MATCH(orders!L$1,products!$A$1:$G$1,0))</f>
        <v>7.169999999999999</v>
      </c>
    </row>
    <row r="451" spans="1:12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>
        <f>IF(_xlfn.XLOOKUP(orders!C451,customers!$A:$A,customers!$C:$C,,0)=0,"",_xlfn.XLOOKUP(orders!C451,customers!$A:$A,customers!$C:$C,,0))</f>
        <v>aharroldch@miibeian.gov.cn</v>
      </c>
      <c r="H451" s="2" t="str">
        <f>_xlfn.XLOOKUP(C451,customers!$A:$A,customers!$G:$G,,0)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>
        <f>INDEX(products!$A$1:$G$49,MATCH(orders!$D451,products!$A$1:$A$49,0),MATCH(orders!K$1,products!$A$1:$G$1,0))</f>
        <v>0.2</v>
      </c>
      <c r="L451">
        <f>INDEX(products!$A$1:$G$49,MATCH(orders!$D451,products!$A$1:$A$49,0),MATCH(orders!L$1,products!$A$1:$G$1,0))</f>
        <v>2.6849999999999996</v>
      </c>
    </row>
    <row r="452" spans="1:12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>
        <f>IF(_xlfn.XLOOKUP(orders!C452,customers!$A:$A,customers!$C:$C,,0)=0,"",_xlfn.XLOOKUP(orders!C452,customers!$A:$A,customers!$C:$C,,0))</f>
        <v>spamphilonci@mlb.com</v>
      </c>
      <c r="H452" s="2" t="str">
        <f>_xlfn.XLOOKUP(C452,customers!$A:$A,customers!$G:$G,,0)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>
        <f>INDEX(products!$A$1:$G$49,MATCH(orders!$D452,products!$A$1:$A$49,0),MATCH(orders!K$1,products!$A$1:$G$1,0))</f>
        <v>0.2</v>
      </c>
      <c r="L452">
        <f>INDEX(products!$A$1:$G$49,MATCH(orders!$D452,products!$A$1:$A$49,0),MATCH(orders!L$1,products!$A$1:$G$1,0))</f>
        <v>4.7549999999999999</v>
      </c>
    </row>
    <row r="453" spans="1:12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>
        <f>IF(_xlfn.XLOOKUP(orders!C453,customers!$A:$A,customers!$C:$C,,0)=0,"",_xlfn.XLOOKUP(orders!C453,customers!$A:$A,customers!$C:$C,,0))</f>
        <v>mspurdencj@exblog.jp</v>
      </c>
      <c r="H453" s="2" t="str">
        <f>_xlfn.XLOOKUP(C453,customers!$A:$A,customers!$G:$G,,0)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>
        <f>INDEX(products!$A$1:$G$49,MATCH(orders!$D453,products!$A$1:$A$49,0),MATCH(orders!K$1,products!$A$1:$G$1,0))</f>
        <v>2.5</v>
      </c>
      <c r="L453">
        <f>INDEX(products!$A$1:$G$49,MATCH(orders!$D453,products!$A$1:$A$49,0),MATCH(orders!L$1,products!$A$1:$G$1,0))</f>
        <v>20.584999999999997</v>
      </c>
    </row>
    <row r="454" spans="1:12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>
        <f>IF(_xlfn.XLOOKUP(orders!C454,customers!$A:$A,customers!$C:$C,,0)=0,"",_xlfn.XLOOKUP(orders!C454,customers!$A:$A,customers!$C:$C,,0))</f>
        <v>msesonck@census.gov</v>
      </c>
      <c r="H454" s="2" t="str">
        <f>_xlfn.XLOOKUP(C454,customers!$A:$A,customers!$G:$G,,0)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>
        <f>INDEX(products!$A$1:$G$49,MATCH(orders!$D454,products!$A$1:$A$49,0),MATCH(orders!K$1,products!$A$1:$G$1,0))</f>
        <v>0.2</v>
      </c>
      <c r="L454">
        <f>INDEX(products!$A$1:$G$49,MATCH(orders!$D454,products!$A$1:$A$49,0),MATCH(orders!L$1,products!$A$1:$G$1,0))</f>
        <v>3.8849999999999998</v>
      </c>
    </row>
    <row r="455" spans="1:12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>
        <f>IF(_xlfn.XLOOKUP(orders!C455,customers!$A:$A,customers!$C:$C,,0)=0,"",_xlfn.XLOOKUP(orders!C455,customers!$A:$A,customers!$C:$C,,0))</f>
        <v>npirronecl@weibo.com</v>
      </c>
      <c r="H455" s="2" t="str">
        <f>_xlfn.XLOOKUP(C455,customers!$A:$A,customers!$G:$G,,0)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>
        <f>INDEX(products!$A$1:$G$49,MATCH(orders!$D455,products!$A$1:$A$49,0),MATCH(orders!K$1,products!$A$1:$G$1,0))</f>
        <v>0.5</v>
      </c>
      <c r="L455">
        <f>INDEX(products!$A$1:$G$49,MATCH(orders!$D455,products!$A$1:$A$49,0),MATCH(orders!L$1,products!$A$1:$G$1,0))</f>
        <v>9.51</v>
      </c>
    </row>
    <row r="456" spans="1:12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>
        <f>IF(_xlfn.XLOOKUP(orders!C456,customers!$A:$A,customers!$C:$C,,0)=0,"",_xlfn.XLOOKUP(orders!C456,customers!$A:$A,customers!$C:$C,,0))</f>
        <v>rcawleycm@yellowbook.com</v>
      </c>
      <c r="H456" s="2" t="str">
        <f>_xlfn.XLOOKUP(C456,customers!$A:$A,customers!$G:$G,,0)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>
        <f>INDEX(products!$A$1:$G$49,MATCH(orders!$D456,products!$A$1:$A$49,0),MATCH(orders!K$1,products!$A$1:$G$1,0))</f>
        <v>2.5</v>
      </c>
      <c r="L456">
        <f>INDEX(products!$A$1:$G$49,MATCH(orders!$D456,products!$A$1:$A$49,0),MATCH(orders!L$1,products!$A$1:$G$1,0))</f>
        <v>20.584999999999997</v>
      </c>
    </row>
    <row r="457" spans="1:12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>
        <f>IF(_xlfn.XLOOKUP(orders!C457,customers!$A:$A,customers!$C:$C,,0)=0,"",_xlfn.XLOOKUP(orders!C457,customers!$A:$A,customers!$C:$C,,0))</f>
        <v>sbarribalcn@microsoft.com</v>
      </c>
      <c r="H457" s="2" t="str">
        <f>_xlfn.XLOOKUP(C457,customers!$A:$A,customers!$G:$G,,0)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>
        <f>INDEX(products!$A$1:$G$49,MATCH(orders!$D457,products!$A$1:$A$49,0),MATCH(orders!K$1,products!$A$1:$G$1,0))</f>
        <v>0.2</v>
      </c>
      <c r="L457">
        <f>INDEX(products!$A$1:$G$49,MATCH(orders!$D457,products!$A$1:$A$49,0),MATCH(orders!L$1,products!$A$1:$G$1,0))</f>
        <v>4.7549999999999999</v>
      </c>
    </row>
    <row r="458" spans="1:12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>
        <f>IF(_xlfn.XLOOKUP(orders!C458,customers!$A:$A,customers!$C:$C,,0)=0,"",_xlfn.XLOOKUP(orders!C458,customers!$A:$A,customers!$C:$C,,0))</f>
        <v>aadamidesco@bizjournals.com</v>
      </c>
      <c r="H458" s="2" t="str">
        <f>_xlfn.XLOOKUP(C458,customers!$A:$A,customers!$G:$G,,0)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>
        <f>INDEX(products!$A$1:$G$49,MATCH(orders!$D458,products!$A$1:$A$49,0),MATCH(orders!K$1,products!$A$1:$G$1,0))</f>
        <v>2.5</v>
      </c>
      <c r="L458">
        <f>INDEX(products!$A$1:$G$49,MATCH(orders!$D458,products!$A$1:$A$49,0),MATCH(orders!L$1,products!$A$1:$G$1,0))</f>
        <v>20.584999999999997</v>
      </c>
    </row>
    <row r="459" spans="1:12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>
        <f>IF(_xlfn.XLOOKUP(orders!C459,customers!$A:$A,customers!$C:$C,,0)=0,"",_xlfn.XLOOKUP(orders!C459,customers!$A:$A,customers!$C:$C,,0))</f>
        <v>cthowescp@craigslist.org</v>
      </c>
      <c r="H459" s="2" t="str">
        <f>_xlfn.XLOOKUP(C459,customers!$A:$A,customers!$G:$G,,0)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>
        <f>INDEX(products!$A$1:$G$49,MATCH(orders!$D459,products!$A$1:$A$49,0),MATCH(orders!K$1,products!$A$1:$G$1,0))</f>
        <v>0.5</v>
      </c>
      <c r="L459">
        <f>INDEX(products!$A$1:$G$49,MATCH(orders!$D459,products!$A$1:$A$49,0),MATCH(orders!L$1,products!$A$1:$G$1,0))</f>
        <v>9.51</v>
      </c>
    </row>
    <row r="460" spans="1:12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>
        <f>IF(_xlfn.XLOOKUP(orders!C460,customers!$A:$A,customers!$C:$C,,0)=0,"",_xlfn.XLOOKUP(orders!C460,customers!$A:$A,customers!$C:$C,,0))</f>
        <v>rwillowaycq@admin.ch</v>
      </c>
      <c r="H460" s="2" t="str">
        <f>_xlfn.XLOOKUP(C460,customers!$A:$A,customers!$G:$G,,0)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>
        <f>INDEX(products!$A$1:$G$49,MATCH(orders!$D460,products!$A$1:$A$49,0),MATCH(orders!K$1,products!$A$1:$G$1,0))</f>
        <v>1</v>
      </c>
      <c r="L460">
        <f>INDEX(products!$A$1:$G$49,MATCH(orders!$D460,products!$A$1:$A$49,0),MATCH(orders!L$1,products!$A$1:$G$1,0))</f>
        <v>11.25</v>
      </c>
    </row>
    <row r="461" spans="1:12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>
        <f>IF(_xlfn.XLOOKUP(orders!C461,customers!$A:$A,customers!$C:$C,,0)=0,"",_xlfn.XLOOKUP(orders!C461,customers!$A:$A,customers!$C:$C,,0))</f>
        <v>aelwincr@privacy.gov.au</v>
      </c>
      <c r="H461" s="2" t="str">
        <f>_xlfn.XLOOKUP(C461,customers!$A:$A,customers!$G:$G,,0)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>
        <f>INDEX(products!$A$1:$G$49,MATCH(orders!$D461,products!$A$1:$A$49,0),MATCH(orders!K$1,products!$A$1:$G$1,0))</f>
        <v>0.2</v>
      </c>
      <c r="L461">
        <f>INDEX(products!$A$1:$G$49,MATCH(orders!$D461,products!$A$1:$A$49,0),MATCH(orders!L$1,products!$A$1:$G$1,0))</f>
        <v>4.7549999999999999</v>
      </c>
    </row>
    <row r="462" spans="1:12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>
        <f>IF(_xlfn.XLOOKUP(orders!C462,customers!$A:$A,customers!$C:$C,,0)=0,"",_xlfn.XLOOKUP(orders!C462,customers!$A:$A,customers!$C:$C,,0))</f>
        <v>abilbrookcs@booking.com</v>
      </c>
      <c r="H462" s="2" t="str">
        <f>_xlfn.XLOOKUP(C462,customers!$A:$A,customers!$G:$G,,0)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>
        <f>INDEX(products!$A$1:$G$49,MATCH(orders!$D462,products!$A$1:$A$49,0),MATCH(orders!K$1,products!$A$1:$G$1,0))</f>
        <v>0.5</v>
      </c>
      <c r="L462">
        <f>INDEX(products!$A$1:$G$49,MATCH(orders!$D462,products!$A$1:$A$49,0),MATCH(orders!L$1,products!$A$1:$G$1,0))</f>
        <v>5.3699999999999992</v>
      </c>
    </row>
    <row r="463" spans="1:12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>
        <f>IF(_xlfn.XLOOKUP(orders!C463,customers!$A:$A,customers!$C:$C,,0)=0,"",_xlfn.XLOOKUP(orders!C463,customers!$A:$A,customers!$C:$C,,0))</f>
        <v>rmckallct@sakura.ne.jp</v>
      </c>
      <c r="H463" s="2" t="str">
        <f>_xlfn.XLOOKUP(C463,customers!$A:$A,customers!$G:$G,,0)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>
        <f>INDEX(products!$A$1:$G$49,MATCH(orders!$D463,products!$A$1:$A$49,0),MATCH(orders!K$1,products!$A$1:$G$1,0))</f>
        <v>0.2</v>
      </c>
      <c r="L463">
        <f>INDEX(products!$A$1:$G$49,MATCH(orders!$D463,products!$A$1:$A$49,0),MATCH(orders!L$1,products!$A$1:$G$1,0))</f>
        <v>2.6849999999999996</v>
      </c>
    </row>
    <row r="464" spans="1:12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>
        <f>IF(_xlfn.XLOOKUP(orders!C464,customers!$A:$A,customers!$C:$C,,0)=0,"",_xlfn.XLOOKUP(orders!C464,customers!$A:$A,customers!$C:$C,,0))</f>
        <v>bdailecu@vistaprint.com</v>
      </c>
      <c r="H464" s="2" t="str">
        <f>_xlfn.XLOOKUP(C464,customers!$A:$A,customers!$G:$G,,0)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>
        <f>INDEX(products!$A$1:$G$49,MATCH(orders!$D464,products!$A$1:$A$49,0),MATCH(orders!K$1,products!$A$1:$G$1,0))</f>
        <v>1</v>
      </c>
      <c r="L464">
        <f>INDEX(products!$A$1:$G$49,MATCH(orders!$D464,products!$A$1:$A$49,0),MATCH(orders!L$1,products!$A$1:$G$1,0))</f>
        <v>9.9499999999999993</v>
      </c>
    </row>
    <row r="465" spans="1:12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>
        <f>IF(_xlfn.XLOOKUP(orders!C465,customers!$A:$A,customers!$C:$C,,0)=0,"",_xlfn.XLOOKUP(orders!C465,customers!$A:$A,customers!$C:$C,,0))</f>
        <v>atrehernecv@state.tx.us</v>
      </c>
      <c r="H465" s="2" t="str">
        <f>_xlfn.XLOOKUP(C465,customers!$A:$A,customers!$G:$G,,0)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>
        <f>INDEX(products!$A$1:$G$49,MATCH(orders!$D465,products!$A$1:$A$49,0),MATCH(orders!K$1,products!$A$1:$G$1,0))</f>
        <v>1</v>
      </c>
      <c r="L465">
        <f>INDEX(products!$A$1:$G$49,MATCH(orders!$D465,products!$A$1:$A$49,0),MATCH(orders!L$1,products!$A$1:$G$1,0))</f>
        <v>13.75</v>
      </c>
    </row>
    <row r="466" spans="1:12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>
        <f>IF(_xlfn.XLOOKUP(orders!C466,customers!$A:$A,customers!$C:$C,,0)=0,"",_xlfn.XLOOKUP(orders!C466,customers!$A:$A,customers!$C:$C,,0))</f>
        <v>abrentnallcw@biglobe.ne.jp</v>
      </c>
      <c r="H466" s="2" t="str">
        <f>_xlfn.XLOOKUP(C466,customers!$A:$A,customers!$G:$G,,0)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>
        <f>INDEX(products!$A$1:$G$49,MATCH(orders!$D466,products!$A$1:$A$49,0),MATCH(orders!K$1,products!$A$1:$G$1,0))</f>
        <v>2.5</v>
      </c>
      <c r="L466">
        <f>INDEX(products!$A$1:$G$49,MATCH(orders!$D466,products!$A$1:$A$49,0),MATCH(orders!L$1,products!$A$1:$G$1,0))</f>
        <v>29.784999999999997</v>
      </c>
    </row>
    <row r="467" spans="1:12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>
        <f>IF(_xlfn.XLOOKUP(orders!C467,customers!$A:$A,customers!$C:$C,,0)=0,"",_xlfn.XLOOKUP(orders!C467,customers!$A:$A,customers!$C:$C,,0))</f>
        <v>ddrinkallcx@psu.edu</v>
      </c>
      <c r="H467" s="2" t="str">
        <f>_xlfn.XLOOKUP(C467,customers!$A:$A,customers!$G:$G,,0)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>
        <f>INDEX(products!$A$1:$G$49,MATCH(orders!$D467,products!$A$1:$A$49,0),MATCH(orders!K$1,products!$A$1:$G$1,0))</f>
        <v>2.5</v>
      </c>
      <c r="L467">
        <f>INDEX(products!$A$1:$G$49,MATCH(orders!$D467,products!$A$1:$A$49,0),MATCH(orders!L$1,products!$A$1:$G$1,0))</f>
        <v>20.584999999999997</v>
      </c>
    </row>
    <row r="468" spans="1:12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>
        <f>IF(_xlfn.XLOOKUP(orders!C468,customers!$A:$A,customers!$C:$C,,0)=0,"",_xlfn.XLOOKUP(orders!C468,customers!$A:$A,customers!$C:$C,,0))</f>
        <v>dkornelcy@cyberchimps.com</v>
      </c>
      <c r="H468" s="2" t="str">
        <f>_xlfn.XLOOKUP(C468,customers!$A:$A,customers!$G:$G,,0)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>
        <f>INDEX(products!$A$1:$G$49,MATCH(orders!$D468,products!$A$1:$A$49,0),MATCH(orders!K$1,products!$A$1:$G$1,0))</f>
        <v>0.2</v>
      </c>
      <c r="L468">
        <f>INDEX(products!$A$1:$G$49,MATCH(orders!$D468,products!$A$1:$A$49,0),MATCH(orders!L$1,products!$A$1:$G$1,0))</f>
        <v>2.9849999999999999</v>
      </c>
    </row>
    <row r="469" spans="1:12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>
        <f>IF(_xlfn.XLOOKUP(orders!C469,customers!$A:$A,customers!$C:$C,,0)=0,"",_xlfn.XLOOKUP(orders!C469,customers!$A:$A,customers!$C:$C,,0))</f>
        <v>rlequeuxcz@newyorker.com</v>
      </c>
      <c r="H469" s="2" t="str">
        <f>_xlfn.XLOOKUP(C469,customers!$A:$A,customers!$G:$G,,0)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>
        <f>INDEX(products!$A$1:$G$49,MATCH(orders!$D469,products!$A$1:$A$49,0),MATCH(orders!K$1,products!$A$1:$G$1,0))</f>
        <v>0.5</v>
      </c>
      <c r="L469">
        <f>INDEX(products!$A$1:$G$49,MATCH(orders!$D469,products!$A$1:$A$49,0),MATCH(orders!L$1,products!$A$1:$G$1,0))</f>
        <v>5.97</v>
      </c>
    </row>
    <row r="470" spans="1:12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>
        <f>IF(_xlfn.XLOOKUP(orders!C470,customers!$A:$A,customers!$C:$C,,0)=0,"",_xlfn.XLOOKUP(orders!C470,customers!$A:$A,customers!$C:$C,,0))</f>
        <v>jmccaulld0@parallels.com</v>
      </c>
      <c r="H470" s="2" t="str">
        <f>_xlfn.XLOOKUP(C470,customers!$A:$A,customers!$G:$G,,0)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>
        <f>INDEX(products!$A$1:$G$49,MATCH(orders!$D470,products!$A$1:$A$49,0),MATCH(orders!K$1,products!$A$1:$G$1,0))</f>
        <v>1</v>
      </c>
      <c r="L470">
        <f>INDEX(products!$A$1:$G$49,MATCH(orders!$D470,products!$A$1:$A$49,0),MATCH(orders!L$1,products!$A$1:$G$1,0))</f>
        <v>13.75</v>
      </c>
    </row>
    <row r="471" spans="1:12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>
        <f>IF(_xlfn.XLOOKUP(orders!C471,customers!$A:$A,customers!$C:$C,,0)=0,"",_xlfn.XLOOKUP(orders!C471,customers!$A:$A,customers!$C:$C,,0))</f>
        <v>abrashda@plala.or.jp</v>
      </c>
      <c r="H471" s="2" t="str">
        <f>_xlfn.XLOOKUP(C471,customers!$A:$A,customers!$G:$G,,0)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>
        <f>INDEX(products!$A$1:$G$49,MATCH(orders!$D471,products!$A$1:$A$49,0),MATCH(orders!K$1,products!$A$1:$G$1,0))</f>
        <v>0.2</v>
      </c>
      <c r="L471">
        <f>INDEX(products!$A$1:$G$49,MATCH(orders!$D471,products!$A$1:$A$49,0),MATCH(orders!L$1,products!$A$1:$G$1,0))</f>
        <v>4.4550000000000001</v>
      </c>
    </row>
    <row r="472" spans="1:12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>
        <f>IF(_xlfn.XLOOKUP(orders!C472,customers!$A:$A,customers!$C:$C,,0)=0,"",_xlfn.XLOOKUP(orders!C472,customers!$A:$A,customers!$C:$C,,0))</f>
        <v>ahutchinsond2@imgur.com</v>
      </c>
      <c r="H472" s="2" t="str">
        <f>_xlfn.XLOOKUP(C472,customers!$A:$A,customers!$G:$G,,0)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>
        <f>INDEX(products!$A$1:$G$49,MATCH(orders!$D472,products!$A$1:$A$49,0),MATCH(orders!K$1,products!$A$1:$G$1,0))</f>
        <v>0.5</v>
      </c>
      <c r="L472">
        <f>INDEX(products!$A$1:$G$49,MATCH(orders!$D472,products!$A$1:$A$49,0),MATCH(orders!L$1,products!$A$1:$G$1,0))</f>
        <v>6.75</v>
      </c>
    </row>
    <row r="473" spans="1:12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 t="str">
        <f>IF(_xlfn.XLOOKUP(orders!C473,customers!$A:$A,customers!$C:$C,,0)=0,"",_xlfn.XLOOKUP(orders!C473,customers!$A:$A,customers!$C:$C,,0))</f>
        <v/>
      </c>
      <c r="H473" s="2" t="str">
        <f>_xlfn.XLOOKUP(C473,customers!$A:$A,customers!$G:$G,,0)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>
        <f>INDEX(products!$A$1:$G$49,MATCH(orders!$D473,products!$A$1:$A$49,0),MATCH(orders!K$1,products!$A$1:$G$1,0))</f>
        <v>2.5</v>
      </c>
      <c r="L473">
        <f>INDEX(products!$A$1:$G$49,MATCH(orders!$D473,products!$A$1:$A$49,0),MATCH(orders!L$1,products!$A$1:$G$1,0))</f>
        <v>33.464999999999996</v>
      </c>
    </row>
    <row r="474" spans="1:12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>
        <f>IF(_xlfn.XLOOKUP(orders!C474,customers!$A:$A,customers!$C:$C,,0)=0,"",_xlfn.XLOOKUP(orders!C474,customers!$A:$A,customers!$C:$C,,0))</f>
        <v>rdriversd4@hexun.com</v>
      </c>
      <c r="H474" s="2" t="str">
        <f>_xlfn.XLOOKUP(C474,customers!$A:$A,customers!$G:$G,,0)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>
        <f>INDEX(products!$A$1:$G$49,MATCH(orders!$D474,products!$A$1:$A$49,0),MATCH(orders!K$1,products!$A$1:$G$1,0))</f>
        <v>0.2</v>
      </c>
      <c r="L474">
        <f>INDEX(products!$A$1:$G$49,MATCH(orders!$D474,products!$A$1:$A$49,0),MATCH(orders!L$1,products!$A$1:$G$1,0))</f>
        <v>2.9849999999999999</v>
      </c>
    </row>
    <row r="475" spans="1:12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>
        <f>IF(_xlfn.XLOOKUP(orders!C475,customers!$A:$A,customers!$C:$C,,0)=0,"",_xlfn.XLOOKUP(orders!C475,customers!$A:$A,customers!$C:$C,,0))</f>
        <v>hzeald5@google.de</v>
      </c>
      <c r="H475" s="2" t="str">
        <f>_xlfn.XLOOKUP(C475,customers!$A:$A,customers!$G:$G,,0)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>
        <f>INDEX(products!$A$1:$G$49,MATCH(orders!$D475,products!$A$1:$A$49,0),MATCH(orders!K$1,products!$A$1:$G$1,0))</f>
        <v>1</v>
      </c>
      <c r="L475">
        <f>INDEX(products!$A$1:$G$49,MATCH(orders!$D475,products!$A$1:$A$49,0),MATCH(orders!L$1,products!$A$1:$G$1,0))</f>
        <v>12.95</v>
      </c>
    </row>
    <row r="476" spans="1:12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>
        <f>IF(_xlfn.XLOOKUP(orders!C476,customers!$A:$A,customers!$C:$C,,0)=0,"",_xlfn.XLOOKUP(orders!C476,customers!$A:$A,customers!$C:$C,,0))</f>
        <v>gsmallcombed6@ucla.edu</v>
      </c>
      <c r="H476" s="2" t="str">
        <f>_xlfn.XLOOKUP(C476,customers!$A:$A,customers!$G:$G,,0)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>
        <f>INDEX(products!$A$1:$G$49,MATCH(orders!$D476,products!$A$1:$A$49,0),MATCH(orders!K$1,products!$A$1:$G$1,0))</f>
        <v>2.5</v>
      </c>
      <c r="L476">
        <f>INDEX(products!$A$1:$G$49,MATCH(orders!$D476,products!$A$1:$A$49,0),MATCH(orders!L$1,products!$A$1:$G$1,0))</f>
        <v>31.624999999999996</v>
      </c>
    </row>
    <row r="477" spans="1:12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>
        <f>IF(_xlfn.XLOOKUP(orders!C477,customers!$A:$A,customers!$C:$C,,0)=0,"",_xlfn.XLOOKUP(orders!C477,customers!$A:$A,customers!$C:$C,,0))</f>
        <v>ddibleyd7@feedburner.com</v>
      </c>
      <c r="H477" s="2" t="str">
        <f>_xlfn.XLOOKUP(C477,customers!$A:$A,customers!$G:$G,,0)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>
        <f>INDEX(products!$A$1:$G$49,MATCH(orders!$D477,products!$A$1:$A$49,0),MATCH(orders!K$1,products!$A$1:$G$1,0))</f>
        <v>0.2</v>
      </c>
      <c r="L477">
        <f>INDEX(products!$A$1:$G$49,MATCH(orders!$D477,products!$A$1:$A$49,0),MATCH(orders!L$1,products!$A$1:$G$1,0))</f>
        <v>4.3650000000000002</v>
      </c>
    </row>
    <row r="478" spans="1:12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>
        <f>IF(_xlfn.XLOOKUP(orders!C478,customers!$A:$A,customers!$C:$C,,0)=0,"",_xlfn.XLOOKUP(orders!C478,customers!$A:$A,customers!$C:$C,,0))</f>
        <v>gdimitrioud8@chronoengine.com</v>
      </c>
      <c r="H478" s="2" t="str">
        <f>_xlfn.XLOOKUP(C478,customers!$A:$A,customers!$G:$G,,0)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>
        <f>INDEX(products!$A$1:$G$49,MATCH(orders!$D478,products!$A$1:$A$49,0),MATCH(orders!K$1,products!$A$1:$G$1,0))</f>
        <v>0.2</v>
      </c>
      <c r="L478">
        <f>INDEX(products!$A$1:$G$49,MATCH(orders!$D478,products!$A$1:$A$49,0),MATCH(orders!L$1,products!$A$1:$G$1,0))</f>
        <v>4.4550000000000001</v>
      </c>
    </row>
    <row r="479" spans="1:12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>
        <f>IF(_xlfn.XLOOKUP(orders!C479,customers!$A:$A,customers!$C:$C,,0)=0,"",_xlfn.XLOOKUP(orders!C479,customers!$A:$A,customers!$C:$C,,0))</f>
        <v>fflanagand9@woothemes.com</v>
      </c>
      <c r="H479" s="2" t="str">
        <f>_xlfn.XLOOKUP(C479,customers!$A:$A,customers!$G:$G,,0)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>
        <f>INDEX(products!$A$1:$G$49,MATCH(orders!$D479,products!$A$1:$A$49,0),MATCH(orders!K$1,products!$A$1:$G$1,0))</f>
        <v>0.2</v>
      </c>
      <c r="L479">
        <f>INDEX(products!$A$1:$G$49,MATCH(orders!$D479,products!$A$1:$A$49,0),MATCH(orders!L$1,products!$A$1:$G$1,0))</f>
        <v>4.3650000000000002</v>
      </c>
    </row>
    <row r="480" spans="1:12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>
        <f>IF(_xlfn.XLOOKUP(orders!C480,customers!$A:$A,customers!$C:$C,,0)=0,"",_xlfn.XLOOKUP(orders!C480,customers!$A:$A,customers!$C:$C,,0))</f>
        <v>abrashda@plala.or.jp</v>
      </c>
      <c r="H480" s="2" t="str">
        <f>_xlfn.XLOOKUP(C480,customers!$A:$A,customers!$G:$G,,0)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>
        <f>INDEX(products!$A$1:$G$49,MATCH(orders!$D480,products!$A$1:$A$49,0),MATCH(orders!K$1,products!$A$1:$G$1,0))</f>
        <v>1</v>
      </c>
      <c r="L480">
        <f>INDEX(products!$A$1:$G$49,MATCH(orders!$D480,products!$A$1:$A$49,0),MATCH(orders!L$1,products!$A$1:$G$1,0))</f>
        <v>8.9499999999999993</v>
      </c>
    </row>
    <row r="481" spans="1:12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>
        <f>IF(_xlfn.XLOOKUP(orders!C481,customers!$A:$A,customers!$C:$C,,0)=0,"",_xlfn.XLOOKUP(orders!C481,customers!$A:$A,customers!$C:$C,,0))</f>
        <v>abrashda@plala.or.jp</v>
      </c>
      <c r="H481" s="2" t="str">
        <f>_xlfn.XLOOKUP(C481,customers!$A:$A,customers!$G:$G,,0)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>
        <f>INDEX(products!$A$1:$G$49,MATCH(orders!$D481,products!$A$1:$A$49,0),MATCH(orders!K$1,products!$A$1:$G$1,0))</f>
        <v>2.5</v>
      </c>
      <c r="L481">
        <f>INDEX(products!$A$1:$G$49,MATCH(orders!$D481,products!$A$1:$A$49,0),MATCH(orders!L$1,products!$A$1:$G$1,0))</f>
        <v>31.624999999999996</v>
      </c>
    </row>
    <row r="482" spans="1:12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>
        <f>IF(_xlfn.XLOOKUP(orders!C482,customers!$A:$A,customers!$C:$C,,0)=0,"",_xlfn.XLOOKUP(orders!C482,customers!$A:$A,customers!$C:$C,,0))</f>
        <v>abrashda@plala.or.jp</v>
      </c>
      <c r="H482" s="2" t="str">
        <f>_xlfn.XLOOKUP(C482,customers!$A:$A,customers!$G:$G,,0)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>
        <f>INDEX(products!$A$1:$G$49,MATCH(orders!$D482,products!$A$1:$A$49,0),MATCH(orders!K$1,products!$A$1:$G$1,0))</f>
        <v>0.2</v>
      </c>
      <c r="L482">
        <f>INDEX(products!$A$1:$G$49,MATCH(orders!$D482,products!$A$1:$A$49,0),MATCH(orders!L$1,products!$A$1:$G$1,0))</f>
        <v>4.125</v>
      </c>
    </row>
    <row r="483" spans="1:12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>
        <f>IF(_xlfn.XLOOKUP(orders!C483,customers!$A:$A,customers!$C:$C,,0)=0,"",_xlfn.XLOOKUP(orders!C483,customers!$A:$A,customers!$C:$C,,0))</f>
        <v>nizhakovdd@aol.com</v>
      </c>
      <c r="H483" s="2" t="str">
        <f>_xlfn.XLOOKUP(C483,customers!$A:$A,customers!$G:$G,,0)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>
        <f>INDEX(products!$A$1:$G$49,MATCH(orders!$D483,products!$A$1:$A$49,0),MATCH(orders!K$1,products!$A$1:$G$1,0))</f>
        <v>1</v>
      </c>
      <c r="L483">
        <f>INDEX(products!$A$1:$G$49,MATCH(orders!$D483,products!$A$1:$A$49,0),MATCH(orders!L$1,products!$A$1:$G$1,0))</f>
        <v>11.95</v>
      </c>
    </row>
    <row r="484" spans="1:12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>
        <f>IF(_xlfn.XLOOKUP(orders!C484,customers!$A:$A,customers!$C:$C,,0)=0,"",_xlfn.XLOOKUP(orders!C484,customers!$A:$A,customers!$C:$C,,0))</f>
        <v>skeetsde@answers.com</v>
      </c>
      <c r="H484" s="2" t="str">
        <f>_xlfn.XLOOKUP(C484,customers!$A:$A,customers!$G:$G,,0)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>
        <f>INDEX(products!$A$1:$G$49,MATCH(orders!$D484,products!$A$1:$A$49,0),MATCH(orders!K$1,products!$A$1:$G$1,0))</f>
        <v>2.5</v>
      </c>
      <c r="L484">
        <f>INDEX(products!$A$1:$G$49,MATCH(orders!$D484,products!$A$1:$A$49,0),MATCH(orders!L$1,products!$A$1:$G$1,0))</f>
        <v>27.945</v>
      </c>
    </row>
    <row r="485" spans="1:12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 t="str">
        <f>IF(_xlfn.XLOOKUP(orders!C485,customers!$A:$A,customers!$C:$C,,0)=0,"",_xlfn.XLOOKUP(orders!C485,customers!$A:$A,customers!$C:$C,,0))</f>
        <v/>
      </c>
      <c r="H485" s="2" t="str">
        <f>_xlfn.XLOOKUP(C485,customers!$A:$A,customers!$G:$G,,0)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>
        <f>INDEX(products!$A$1:$G$49,MATCH(orders!$D485,products!$A$1:$A$49,0),MATCH(orders!K$1,products!$A$1:$G$1,0))</f>
        <v>2.5</v>
      </c>
      <c r="L485">
        <f>INDEX(products!$A$1:$G$49,MATCH(orders!$D485,products!$A$1:$A$49,0),MATCH(orders!L$1,products!$A$1:$G$1,0))</f>
        <v>29.784999999999997</v>
      </c>
    </row>
    <row r="486" spans="1:12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>
        <f>IF(_xlfn.XLOOKUP(orders!C486,customers!$A:$A,customers!$C:$C,,0)=0,"",_xlfn.XLOOKUP(orders!C486,customers!$A:$A,customers!$C:$C,,0))</f>
        <v>kcakedg@huffingtonpost.com</v>
      </c>
      <c r="H486" s="2" t="str">
        <f>_xlfn.XLOOKUP(C486,customers!$A:$A,customers!$G:$G,,0)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>
        <f>INDEX(products!$A$1:$G$49,MATCH(orders!$D486,products!$A$1:$A$49,0),MATCH(orders!K$1,products!$A$1:$G$1,0))</f>
        <v>0.5</v>
      </c>
      <c r="L486">
        <f>INDEX(products!$A$1:$G$49,MATCH(orders!$D486,products!$A$1:$A$49,0),MATCH(orders!L$1,products!$A$1:$G$1,0))</f>
        <v>9.51</v>
      </c>
    </row>
    <row r="487" spans="1:12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>
        <f>IF(_xlfn.XLOOKUP(orders!C487,customers!$A:$A,customers!$C:$C,,0)=0,"",_xlfn.XLOOKUP(orders!C487,customers!$A:$A,customers!$C:$C,,0))</f>
        <v>mhanseddh@instagram.com</v>
      </c>
      <c r="H487" s="2" t="str">
        <f>_xlfn.XLOOKUP(C487,customers!$A:$A,customers!$G:$G,,0)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>
        <f>INDEX(products!$A$1:$G$49,MATCH(orders!$D487,products!$A$1:$A$49,0),MATCH(orders!K$1,products!$A$1:$G$1,0))</f>
        <v>0.2</v>
      </c>
      <c r="L487">
        <f>INDEX(products!$A$1:$G$49,MATCH(orders!$D487,products!$A$1:$A$49,0),MATCH(orders!L$1,products!$A$1:$G$1,0))</f>
        <v>3.5849999999999995</v>
      </c>
    </row>
    <row r="488" spans="1:12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>
        <f>IF(_xlfn.XLOOKUP(orders!C488,customers!$A:$A,customers!$C:$C,,0)=0,"",_xlfn.XLOOKUP(orders!C488,customers!$A:$A,customers!$C:$C,,0))</f>
        <v>fkienleindi@trellian.com</v>
      </c>
      <c r="H488" s="2" t="str">
        <f>_xlfn.XLOOKUP(C488,customers!$A:$A,customers!$G:$G,,0)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>
        <f>INDEX(products!$A$1:$G$49,MATCH(orders!$D488,products!$A$1:$A$49,0),MATCH(orders!K$1,products!$A$1:$G$1,0))</f>
        <v>0.5</v>
      </c>
      <c r="L488">
        <f>INDEX(products!$A$1:$G$49,MATCH(orders!$D488,products!$A$1:$A$49,0),MATCH(orders!L$1,products!$A$1:$G$1,0))</f>
        <v>8.73</v>
      </c>
    </row>
    <row r="489" spans="1:12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>
        <f>IF(_xlfn.XLOOKUP(orders!C489,customers!$A:$A,customers!$C:$C,,0)=0,"",_xlfn.XLOOKUP(orders!C489,customers!$A:$A,customers!$C:$C,,0))</f>
        <v>kegglestonedj@sphinn.com</v>
      </c>
      <c r="H489" s="2" t="str">
        <f>_xlfn.XLOOKUP(C489,customers!$A:$A,customers!$G:$G,,0)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>
        <f>INDEX(products!$A$1:$G$49,MATCH(orders!$D489,products!$A$1:$A$49,0),MATCH(orders!K$1,products!$A$1:$G$1,0))</f>
        <v>1</v>
      </c>
      <c r="L489">
        <f>INDEX(products!$A$1:$G$49,MATCH(orders!$D489,products!$A$1:$A$49,0),MATCH(orders!L$1,products!$A$1:$G$1,0))</f>
        <v>12.15</v>
      </c>
    </row>
    <row r="490" spans="1:12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>
        <f>IF(_xlfn.XLOOKUP(orders!C490,customers!$A:$A,customers!$C:$C,,0)=0,"",_xlfn.XLOOKUP(orders!C490,customers!$A:$A,customers!$C:$C,,0))</f>
        <v>bsemkinsdk@unc.edu</v>
      </c>
      <c r="H490" s="2" t="str">
        <f>_xlfn.XLOOKUP(C490,customers!$A:$A,customers!$G:$G,,0)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>
        <f>INDEX(products!$A$1:$G$49,MATCH(orders!$D490,products!$A$1:$A$49,0),MATCH(orders!K$1,products!$A$1:$G$1,0))</f>
        <v>0.2</v>
      </c>
      <c r="L490">
        <f>INDEX(products!$A$1:$G$49,MATCH(orders!$D490,products!$A$1:$A$49,0),MATCH(orders!L$1,products!$A$1:$G$1,0))</f>
        <v>2.9849999999999999</v>
      </c>
    </row>
    <row r="491" spans="1:12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>
        <f>IF(_xlfn.XLOOKUP(orders!C491,customers!$A:$A,customers!$C:$C,,0)=0,"",_xlfn.XLOOKUP(orders!C491,customers!$A:$A,customers!$C:$C,,0))</f>
        <v>slorenzettidl@is.gd</v>
      </c>
      <c r="H491" s="2" t="str">
        <f>_xlfn.XLOOKUP(C491,customers!$A:$A,customers!$G:$G,,0)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>
        <f>INDEX(products!$A$1:$G$49,MATCH(orders!$D491,products!$A$1:$A$49,0),MATCH(orders!K$1,products!$A$1:$G$1,0))</f>
        <v>1</v>
      </c>
      <c r="L491">
        <f>INDEX(products!$A$1:$G$49,MATCH(orders!$D491,products!$A$1:$A$49,0),MATCH(orders!L$1,products!$A$1:$G$1,0))</f>
        <v>15.85</v>
      </c>
    </row>
    <row r="492" spans="1:12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>
        <f>IF(_xlfn.XLOOKUP(orders!C492,customers!$A:$A,customers!$C:$C,,0)=0,"",_xlfn.XLOOKUP(orders!C492,customers!$A:$A,customers!$C:$C,,0))</f>
        <v>bgiannazzidm@apple.com</v>
      </c>
      <c r="H492" s="2" t="str">
        <f>_xlfn.XLOOKUP(C492,customers!$A:$A,customers!$G:$G,,0)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>
        <f>INDEX(products!$A$1:$G$49,MATCH(orders!$D492,products!$A$1:$A$49,0),MATCH(orders!K$1,products!$A$1:$G$1,0))</f>
        <v>0.5</v>
      </c>
      <c r="L492">
        <f>INDEX(products!$A$1:$G$49,MATCH(orders!$D492,products!$A$1:$A$49,0),MATCH(orders!L$1,products!$A$1:$G$1,0))</f>
        <v>7.77</v>
      </c>
    </row>
    <row r="493" spans="1:12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 t="str">
        <f>IF(_xlfn.XLOOKUP(orders!C493,customers!$A:$A,customers!$C:$C,,0)=0,"",_xlfn.XLOOKUP(orders!C493,customers!$A:$A,customers!$C:$C,,0))</f>
        <v/>
      </c>
      <c r="H493" s="2" t="str">
        <f>_xlfn.XLOOKUP(C493,customers!$A:$A,customers!$G:$G,,0)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>
        <f>INDEX(products!$A$1:$G$49,MATCH(orders!$D493,products!$A$1:$A$49,0),MATCH(orders!K$1,products!$A$1:$G$1,0))</f>
        <v>0.2</v>
      </c>
      <c r="L493">
        <f>INDEX(products!$A$1:$G$49,MATCH(orders!$D493,products!$A$1:$A$49,0),MATCH(orders!L$1,products!$A$1:$G$1,0))</f>
        <v>3.8849999999999998</v>
      </c>
    </row>
    <row r="494" spans="1:12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>
        <f>IF(_xlfn.XLOOKUP(orders!C494,customers!$A:$A,customers!$C:$C,,0)=0,"",_xlfn.XLOOKUP(orders!C494,customers!$A:$A,customers!$C:$C,,0))</f>
        <v>ulethbrigdo@hc360.com</v>
      </c>
      <c r="H494" s="2" t="str">
        <f>_xlfn.XLOOKUP(C494,customers!$A:$A,customers!$G:$G,,0)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>
        <f>INDEX(products!$A$1:$G$49,MATCH(orders!$D494,products!$A$1:$A$49,0),MATCH(orders!K$1,products!$A$1:$G$1,0))</f>
        <v>0.2</v>
      </c>
      <c r="L494">
        <f>INDEX(products!$A$1:$G$49,MATCH(orders!$D494,products!$A$1:$A$49,0),MATCH(orders!L$1,products!$A$1:$G$1,0))</f>
        <v>4.125</v>
      </c>
    </row>
    <row r="495" spans="1:12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>
        <f>IF(_xlfn.XLOOKUP(orders!C495,customers!$A:$A,customers!$C:$C,,0)=0,"",_xlfn.XLOOKUP(orders!C495,customers!$A:$A,customers!$C:$C,,0))</f>
        <v>sfarnishdp@dmoz.org</v>
      </c>
      <c r="H495" s="2" t="str">
        <f>_xlfn.XLOOKUP(C495,customers!$A:$A,customers!$G:$G,,0)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>
        <f>INDEX(products!$A$1:$G$49,MATCH(orders!$D495,products!$A$1:$A$49,0),MATCH(orders!K$1,products!$A$1:$G$1,0))</f>
        <v>0.5</v>
      </c>
      <c r="L495">
        <f>INDEX(products!$A$1:$G$49,MATCH(orders!$D495,products!$A$1:$A$49,0),MATCH(orders!L$1,products!$A$1:$G$1,0))</f>
        <v>5.97</v>
      </c>
    </row>
    <row r="496" spans="1:12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>
        <f>IF(_xlfn.XLOOKUP(orders!C496,customers!$A:$A,customers!$C:$C,,0)=0,"",_xlfn.XLOOKUP(orders!C496,customers!$A:$A,customers!$C:$C,,0))</f>
        <v>fjecockdq@unicef.org</v>
      </c>
      <c r="H496" s="2" t="str">
        <f>_xlfn.XLOOKUP(C496,customers!$A:$A,customers!$G:$G,,0)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>
        <f>INDEX(products!$A$1:$G$49,MATCH(orders!$D496,products!$A$1:$A$49,0),MATCH(orders!K$1,products!$A$1:$G$1,0))</f>
        <v>1</v>
      </c>
      <c r="L496">
        <f>INDEX(products!$A$1:$G$49,MATCH(orders!$D496,products!$A$1:$A$49,0),MATCH(orders!L$1,products!$A$1:$G$1,0))</f>
        <v>15.85</v>
      </c>
    </row>
    <row r="497" spans="1:12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 t="str">
        <f>IF(_xlfn.XLOOKUP(orders!C497,customers!$A:$A,customers!$C:$C,,0)=0,"",_xlfn.XLOOKUP(orders!C497,customers!$A:$A,customers!$C:$C,,0))</f>
        <v/>
      </c>
      <c r="H497" s="2" t="str">
        <f>_xlfn.XLOOKUP(C497,customers!$A:$A,customers!$G:$G,,0)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>
        <f>INDEX(products!$A$1:$G$49,MATCH(orders!$D497,products!$A$1:$A$49,0),MATCH(orders!K$1,products!$A$1:$G$1,0))</f>
        <v>1</v>
      </c>
      <c r="L497">
        <f>INDEX(products!$A$1:$G$49,MATCH(orders!$D497,products!$A$1:$A$49,0),MATCH(orders!L$1,products!$A$1:$G$1,0))</f>
        <v>15.85</v>
      </c>
    </row>
    <row r="498" spans="1:12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>
        <f>IF(_xlfn.XLOOKUP(orders!C498,customers!$A:$A,customers!$C:$C,,0)=0,"",_xlfn.XLOOKUP(orders!C498,customers!$A:$A,customers!$C:$C,,0))</f>
        <v>hpallisterds@ning.com</v>
      </c>
      <c r="H498" s="2" t="str">
        <f>_xlfn.XLOOKUP(C498,customers!$A:$A,customers!$G:$G,,0)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>
        <f>INDEX(products!$A$1:$G$49,MATCH(orders!$D498,products!$A$1:$A$49,0),MATCH(orders!K$1,products!$A$1:$G$1,0))</f>
        <v>0.2</v>
      </c>
      <c r="L498">
        <f>INDEX(products!$A$1:$G$49,MATCH(orders!$D498,products!$A$1:$A$49,0),MATCH(orders!L$1,products!$A$1:$G$1,0))</f>
        <v>3.645</v>
      </c>
    </row>
    <row r="499" spans="1:12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>
        <f>IF(_xlfn.XLOOKUP(orders!C499,customers!$A:$A,customers!$C:$C,,0)=0,"",_xlfn.XLOOKUP(orders!C499,customers!$A:$A,customers!$C:$C,,0))</f>
        <v>cmershdt@drupal.org</v>
      </c>
      <c r="H499" s="2" t="str">
        <f>_xlfn.XLOOKUP(C499,customers!$A:$A,customers!$G:$G,,0)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>
        <f>INDEX(products!$A$1:$G$49,MATCH(orders!$D499,products!$A$1:$A$49,0),MATCH(orders!K$1,products!$A$1:$G$1,0))</f>
        <v>1</v>
      </c>
      <c r="L499">
        <f>INDEX(products!$A$1:$G$49,MATCH(orders!$D499,products!$A$1:$A$49,0),MATCH(orders!L$1,products!$A$1:$G$1,0))</f>
        <v>9.9499999999999993</v>
      </c>
    </row>
    <row r="500" spans="1:12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>
        <f>IF(_xlfn.XLOOKUP(orders!C500,customers!$A:$A,customers!$C:$C,,0)=0,"",_xlfn.XLOOKUP(orders!C500,customers!$A:$A,customers!$C:$C,,0))</f>
        <v>murione5@alexa.com</v>
      </c>
      <c r="H500" s="2" t="str">
        <f>_xlfn.XLOOKUP(C500,customers!$A:$A,customers!$G:$G,,0)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>
        <f>INDEX(products!$A$1:$G$49,MATCH(orders!$D500,products!$A$1:$A$49,0),MATCH(orders!K$1,products!$A$1:$G$1,0))</f>
        <v>1</v>
      </c>
      <c r="L500">
        <f>INDEX(products!$A$1:$G$49,MATCH(orders!$D500,products!$A$1:$A$49,0),MATCH(orders!L$1,products!$A$1:$G$1,0))</f>
        <v>9.9499999999999993</v>
      </c>
    </row>
    <row r="501" spans="1:12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 t="str">
        <f>IF(_xlfn.XLOOKUP(orders!C501,customers!$A:$A,customers!$C:$C,,0)=0,"",_xlfn.XLOOKUP(orders!C501,customers!$A:$A,customers!$C:$C,,0))</f>
        <v/>
      </c>
      <c r="H501" s="2" t="str">
        <f>_xlfn.XLOOKUP(C501,customers!$A:$A,customers!$G:$G,,0)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>
        <f>INDEX(products!$A$1:$G$49,MATCH(orders!$D501,products!$A$1:$A$49,0),MATCH(orders!K$1,products!$A$1:$G$1,0))</f>
        <v>0.2</v>
      </c>
      <c r="L501">
        <f>INDEX(products!$A$1:$G$49,MATCH(orders!$D501,products!$A$1:$A$49,0),MATCH(orders!L$1,products!$A$1:$G$1,0))</f>
        <v>2.6849999999999996</v>
      </c>
    </row>
    <row r="502" spans="1:12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 t="str">
        <f>IF(_xlfn.XLOOKUP(orders!C502,customers!$A:$A,customers!$C:$C,,0)=0,"",_xlfn.XLOOKUP(orders!C502,customers!$A:$A,customers!$C:$C,,0))</f>
        <v/>
      </c>
      <c r="H502" s="2" t="str">
        <f>_xlfn.XLOOKUP(C502,customers!$A:$A,customers!$G:$G,,0)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>
        <f>INDEX(products!$A$1:$G$49,MATCH(orders!$D502,products!$A$1:$A$49,0),MATCH(orders!K$1,products!$A$1:$G$1,0))</f>
        <v>1</v>
      </c>
      <c r="L502">
        <f>INDEX(products!$A$1:$G$49,MATCH(orders!$D502,products!$A$1:$A$49,0),MATCH(orders!L$1,products!$A$1:$G$1,0))</f>
        <v>11.95</v>
      </c>
    </row>
    <row r="503" spans="1:12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>
        <f>IF(_xlfn.XLOOKUP(orders!C503,customers!$A:$A,customers!$C:$C,,0)=0,"",_xlfn.XLOOKUP(orders!C503,customers!$A:$A,customers!$C:$C,,0))</f>
        <v>gduckerdx@patch.com</v>
      </c>
      <c r="H503" s="2" t="str">
        <f>_xlfn.XLOOKUP(C503,customers!$A:$A,customers!$G:$G,,0)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>
        <f>INDEX(products!$A$1:$G$49,MATCH(orders!$D503,products!$A$1:$A$49,0),MATCH(orders!K$1,products!$A$1:$G$1,0))</f>
        <v>0.2</v>
      </c>
      <c r="L503">
        <f>INDEX(products!$A$1:$G$49,MATCH(orders!$D503,products!$A$1:$A$49,0),MATCH(orders!L$1,products!$A$1:$G$1,0))</f>
        <v>2.9849999999999999</v>
      </c>
    </row>
    <row r="504" spans="1:12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>
        <f>IF(_xlfn.XLOOKUP(orders!C504,customers!$A:$A,customers!$C:$C,,0)=0,"",_xlfn.XLOOKUP(orders!C504,customers!$A:$A,customers!$C:$C,,0))</f>
        <v>gduckerdx@patch.com</v>
      </c>
      <c r="H504" s="2" t="str">
        <f>_xlfn.XLOOKUP(C504,customers!$A:$A,customers!$G:$G,,0)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>
        <f>INDEX(products!$A$1:$G$49,MATCH(orders!$D504,products!$A$1:$A$49,0),MATCH(orders!K$1,products!$A$1:$G$1,0))</f>
        <v>0.2</v>
      </c>
      <c r="L504">
        <f>INDEX(products!$A$1:$G$49,MATCH(orders!$D504,products!$A$1:$A$49,0),MATCH(orders!L$1,products!$A$1:$G$1,0))</f>
        <v>4.125</v>
      </c>
    </row>
    <row r="505" spans="1:12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>
        <f>IF(_xlfn.XLOOKUP(orders!C505,customers!$A:$A,customers!$C:$C,,0)=0,"",_xlfn.XLOOKUP(orders!C505,customers!$A:$A,customers!$C:$C,,0))</f>
        <v>gduckerdx@patch.com</v>
      </c>
      <c r="H505" s="2" t="str">
        <f>_xlfn.XLOOKUP(C505,customers!$A:$A,customers!$G:$G,,0)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>
        <f>INDEX(products!$A$1:$G$49,MATCH(orders!$D505,products!$A$1:$A$49,0),MATCH(orders!K$1,products!$A$1:$G$1,0))</f>
        <v>1</v>
      </c>
      <c r="L505">
        <f>INDEX(products!$A$1:$G$49,MATCH(orders!$D505,products!$A$1:$A$49,0),MATCH(orders!L$1,products!$A$1:$G$1,0))</f>
        <v>12.95</v>
      </c>
    </row>
    <row r="506" spans="1:12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>
        <f>IF(_xlfn.XLOOKUP(orders!C506,customers!$A:$A,customers!$C:$C,,0)=0,"",_xlfn.XLOOKUP(orders!C506,customers!$A:$A,customers!$C:$C,,0))</f>
        <v>gduckerdx@patch.com</v>
      </c>
      <c r="H506" s="2" t="str">
        <f>_xlfn.XLOOKUP(C506,customers!$A:$A,customers!$G:$G,,0)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>
        <f>INDEX(products!$A$1:$G$49,MATCH(orders!$D506,products!$A$1:$A$49,0),MATCH(orders!K$1,products!$A$1:$G$1,0))</f>
        <v>0.2</v>
      </c>
      <c r="L506">
        <f>INDEX(products!$A$1:$G$49,MATCH(orders!$D506,products!$A$1:$A$49,0),MATCH(orders!L$1,products!$A$1:$G$1,0))</f>
        <v>4.7549999999999999</v>
      </c>
    </row>
    <row r="507" spans="1:12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>
        <f>IF(_xlfn.XLOOKUP(orders!C507,customers!$A:$A,customers!$C:$C,,0)=0,"",_xlfn.XLOOKUP(orders!C507,customers!$A:$A,customers!$C:$C,,0))</f>
        <v>wstearleye1@census.gov</v>
      </c>
      <c r="H507" s="2" t="str">
        <f>_xlfn.XLOOKUP(C507,customers!$A:$A,customers!$G:$G,,0)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>
        <f>INDEX(products!$A$1:$G$49,MATCH(orders!$D507,products!$A$1:$A$49,0),MATCH(orders!K$1,products!$A$1:$G$1,0))</f>
        <v>0.2</v>
      </c>
      <c r="L507">
        <f>INDEX(products!$A$1:$G$49,MATCH(orders!$D507,products!$A$1:$A$49,0),MATCH(orders!L$1,products!$A$1:$G$1,0))</f>
        <v>4.3650000000000002</v>
      </c>
    </row>
    <row r="508" spans="1:12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>
        <f>IF(_xlfn.XLOOKUP(orders!C508,customers!$A:$A,customers!$C:$C,,0)=0,"",_xlfn.XLOOKUP(orders!C508,customers!$A:$A,customers!$C:$C,,0))</f>
        <v>dwincere2@marriott.com</v>
      </c>
      <c r="H508" s="2" t="str">
        <f>_xlfn.XLOOKUP(C508,customers!$A:$A,customers!$G:$G,,0)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>
        <f>INDEX(products!$A$1:$G$49,MATCH(orders!$D508,products!$A$1:$A$49,0),MATCH(orders!K$1,products!$A$1:$G$1,0))</f>
        <v>1</v>
      </c>
      <c r="L508">
        <f>INDEX(products!$A$1:$G$49,MATCH(orders!$D508,products!$A$1:$A$49,0),MATCH(orders!L$1,products!$A$1:$G$1,0))</f>
        <v>12.95</v>
      </c>
    </row>
    <row r="509" spans="1:12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>
        <f>IF(_xlfn.XLOOKUP(orders!C509,customers!$A:$A,customers!$C:$C,,0)=0,"",_xlfn.XLOOKUP(orders!C509,customers!$A:$A,customers!$C:$C,,0))</f>
        <v>plyfielde3@baidu.com</v>
      </c>
      <c r="H509" s="2" t="str">
        <f>_xlfn.XLOOKUP(C509,customers!$A:$A,customers!$G:$G,,0)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>
        <f>INDEX(products!$A$1:$G$49,MATCH(orders!$D509,products!$A$1:$A$49,0),MATCH(orders!K$1,products!$A$1:$G$1,0))</f>
        <v>2.5</v>
      </c>
      <c r="L509">
        <f>INDEX(products!$A$1:$G$49,MATCH(orders!$D509,products!$A$1:$A$49,0),MATCH(orders!L$1,products!$A$1:$G$1,0))</f>
        <v>29.784999999999997</v>
      </c>
    </row>
    <row r="510" spans="1:12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>
        <f>IF(_xlfn.XLOOKUP(orders!C510,customers!$A:$A,customers!$C:$C,,0)=0,"",_xlfn.XLOOKUP(orders!C510,customers!$A:$A,customers!$C:$C,,0))</f>
        <v>hperrise4@studiopress.com</v>
      </c>
      <c r="H510" s="2" t="str">
        <f>_xlfn.XLOOKUP(C510,customers!$A:$A,customers!$G:$G,,0)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>
        <f>INDEX(products!$A$1:$G$49,MATCH(orders!$D510,products!$A$1:$A$49,0),MATCH(orders!K$1,products!$A$1:$G$1,0))</f>
        <v>0.5</v>
      </c>
      <c r="L510">
        <f>INDEX(products!$A$1:$G$49,MATCH(orders!$D510,products!$A$1:$A$49,0),MATCH(orders!L$1,products!$A$1:$G$1,0))</f>
        <v>7.77</v>
      </c>
    </row>
    <row r="511" spans="1:12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>
        <f>IF(_xlfn.XLOOKUP(orders!C511,customers!$A:$A,customers!$C:$C,,0)=0,"",_xlfn.XLOOKUP(orders!C511,customers!$A:$A,customers!$C:$C,,0))</f>
        <v>murione5@alexa.com</v>
      </c>
      <c r="H511" s="2" t="str">
        <f>_xlfn.XLOOKUP(C511,customers!$A:$A,customers!$G:$G,,0)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>
        <f>INDEX(products!$A$1:$G$49,MATCH(orders!$D511,products!$A$1:$A$49,0),MATCH(orders!K$1,products!$A$1:$G$1,0))</f>
        <v>1</v>
      </c>
      <c r="L511">
        <f>INDEX(products!$A$1:$G$49,MATCH(orders!$D511,products!$A$1:$A$49,0),MATCH(orders!L$1,products!$A$1:$G$1,0))</f>
        <v>9.9499999999999993</v>
      </c>
    </row>
    <row r="512" spans="1:12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>
        <f>IF(_xlfn.XLOOKUP(orders!C512,customers!$A:$A,customers!$C:$C,,0)=0,"",_xlfn.XLOOKUP(orders!C512,customers!$A:$A,customers!$C:$C,,0))</f>
        <v>ckide6@narod.ru</v>
      </c>
      <c r="H512" s="2" t="str">
        <f>_xlfn.XLOOKUP(C512,customers!$A:$A,customers!$G:$G,,0)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>
        <f>INDEX(products!$A$1:$G$49,MATCH(orders!$D512,products!$A$1:$A$49,0),MATCH(orders!K$1,products!$A$1:$G$1,0))</f>
        <v>0.2</v>
      </c>
      <c r="L512">
        <f>INDEX(products!$A$1:$G$49,MATCH(orders!$D512,products!$A$1:$A$49,0),MATCH(orders!L$1,products!$A$1:$G$1,0))</f>
        <v>3.5849999999999995</v>
      </c>
    </row>
    <row r="513" spans="1:12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>
        <f>IF(_xlfn.XLOOKUP(orders!C513,customers!$A:$A,customers!$C:$C,,0)=0,"",_xlfn.XLOOKUP(orders!C513,customers!$A:$A,customers!$C:$C,,0))</f>
        <v>cbeinee7@xinhuanet.com</v>
      </c>
      <c r="H513" s="2" t="str">
        <f>_xlfn.XLOOKUP(C513,customers!$A:$A,customers!$G:$G,,0)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>
        <f>INDEX(products!$A$1:$G$49,MATCH(orders!$D513,products!$A$1:$A$49,0),MATCH(orders!K$1,products!$A$1:$G$1,0))</f>
        <v>0.2</v>
      </c>
      <c r="L513">
        <f>INDEX(products!$A$1:$G$49,MATCH(orders!$D513,products!$A$1:$A$49,0),MATCH(orders!L$1,products!$A$1:$G$1,0))</f>
        <v>3.375</v>
      </c>
    </row>
    <row r="514" spans="1:12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>
        <f>IF(_xlfn.XLOOKUP(orders!C514,customers!$A:$A,customers!$C:$C,,0)=0,"",_xlfn.XLOOKUP(orders!C514,customers!$A:$A,customers!$C:$C,,0))</f>
        <v>cbakeupe8@globo.com</v>
      </c>
      <c r="H514" s="2" t="str">
        <f>_xlfn.XLOOKUP(C514,customers!$A:$A,customers!$G:$G,,0)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>
        <f>INDEX(products!$A$1:$G$49,MATCH(orders!$D514,products!$A$1:$A$49,0),MATCH(orders!K$1,products!$A$1:$G$1,0))</f>
        <v>1</v>
      </c>
      <c r="L514">
        <f>INDEX(products!$A$1:$G$49,MATCH(orders!$D514,products!$A$1:$A$49,0),MATCH(orders!L$1,products!$A$1:$G$1,0))</f>
        <v>15.85</v>
      </c>
    </row>
    <row r="515" spans="1:12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>
        <f>IF(_xlfn.XLOOKUP(orders!C515,customers!$A:$A,customers!$C:$C,,0)=0,"",_xlfn.XLOOKUP(orders!C515,customers!$A:$A,customers!$C:$C,,0))</f>
        <v>nhelkine9@example.com</v>
      </c>
      <c r="H515" s="2" t="str">
        <f>_xlfn.XLOOKUP(C515,customers!$A:$A,customers!$G:$G,,0)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>
        <f>INDEX(products!$A$1:$G$49,MATCH(orders!$D515,products!$A$1:$A$49,0),MATCH(orders!K$1,products!$A$1:$G$1,0))</f>
        <v>1</v>
      </c>
      <c r="L515">
        <f>INDEX(products!$A$1:$G$49,MATCH(orders!$D515,products!$A$1:$A$49,0),MATCH(orders!L$1,products!$A$1:$G$1,0))</f>
        <v>15.85</v>
      </c>
    </row>
    <row r="516" spans="1:12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>
        <f>IF(_xlfn.XLOOKUP(orders!C516,customers!$A:$A,customers!$C:$C,,0)=0,"",_xlfn.XLOOKUP(orders!C516,customers!$A:$A,customers!$C:$C,,0))</f>
        <v>pwitheringtonea@networkadvertising.org</v>
      </c>
      <c r="H516" s="2" t="str">
        <f>_xlfn.XLOOKUP(C516,customers!$A:$A,customers!$G:$G,,0)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>
        <f>INDEX(products!$A$1:$G$49,MATCH(orders!$D516,products!$A$1:$A$49,0),MATCH(orders!K$1,products!$A$1:$G$1,0))</f>
        <v>0.2</v>
      </c>
      <c r="L516">
        <f>INDEX(products!$A$1:$G$49,MATCH(orders!$D516,products!$A$1:$A$49,0),MATCH(orders!L$1,products!$A$1:$G$1,0))</f>
        <v>4.3650000000000002</v>
      </c>
    </row>
    <row r="517" spans="1:12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>
        <f>IF(_xlfn.XLOOKUP(orders!C517,customers!$A:$A,customers!$C:$C,,0)=0,"",_xlfn.XLOOKUP(orders!C517,customers!$A:$A,customers!$C:$C,,0))</f>
        <v>ttilzeyeb@hostgator.com</v>
      </c>
      <c r="H517" s="2" t="str">
        <f>_xlfn.XLOOKUP(C517,customers!$A:$A,customers!$G:$G,,0)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>
        <f>INDEX(products!$A$1:$G$49,MATCH(orders!$D517,products!$A$1:$A$49,0),MATCH(orders!K$1,products!$A$1:$G$1,0))</f>
        <v>0.5</v>
      </c>
      <c r="L517">
        <f>INDEX(products!$A$1:$G$49,MATCH(orders!$D517,products!$A$1:$A$49,0),MATCH(orders!L$1,products!$A$1:$G$1,0))</f>
        <v>7.169999999999999</v>
      </c>
    </row>
    <row r="518" spans="1:12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 t="str">
        <f>IF(_xlfn.XLOOKUP(orders!C518,customers!$A:$A,customers!$C:$C,,0)=0,"",_xlfn.XLOOKUP(orders!C518,customers!$A:$A,customers!$C:$C,,0))</f>
        <v/>
      </c>
      <c r="H518" s="2" t="str">
        <f>_xlfn.XLOOKUP(C518,customers!$A:$A,customers!$G:$G,,0)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>
        <f>INDEX(products!$A$1:$G$49,MATCH(orders!$D518,products!$A$1:$A$49,0),MATCH(orders!K$1,products!$A$1:$G$1,0))</f>
        <v>2.5</v>
      </c>
      <c r="L518">
        <f>INDEX(products!$A$1:$G$49,MATCH(orders!$D518,products!$A$1:$A$49,0),MATCH(orders!L$1,products!$A$1:$G$1,0))</f>
        <v>20.584999999999997</v>
      </c>
    </row>
    <row r="519" spans="1:12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 t="str">
        <f>IF(_xlfn.XLOOKUP(orders!C519,customers!$A:$A,customers!$C:$C,,0)=0,"",_xlfn.XLOOKUP(orders!C519,customers!$A:$A,customers!$C:$C,,0))</f>
        <v/>
      </c>
      <c r="H519" s="2" t="str">
        <f>_xlfn.XLOOKUP(C519,customers!$A:$A,customers!$G:$G,,0)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>
        <f>INDEX(products!$A$1:$G$49,MATCH(orders!$D519,products!$A$1:$A$49,0),MATCH(orders!K$1,products!$A$1:$G$1,0))</f>
        <v>0.2</v>
      </c>
      <c r="L519">
        <f>INDEX(products!$A$1:$G$49,MATCH(orders!$D519,products!$A$1:$A$49,0),MATCH(orders!L$1,products!$A$1:$G$1,0))</f>
        <v>3.8849999999999998</v>
      </c>
    </row>
    <row r="520" spans="1:12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>
        <f>IF(_xlfn.XLOOKUP(orders!C520,customers!$A:$A,customers!$C:$C,,0)=0,"",_xlfn.XLOOKUP(orders!C520,customers!$A:$A,customers!$C:$C,,0))</f>
        <v>kimortsee@alexa.com</v>
      </c>
      <c r="H520" s="2" t="str">
        <f>_xlfn.XLOOKUP(C520,customers!$A:$A,customers!$G:$G,,0)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>
        <f>INDEX(products!$A$1:$G$49,MATCH(orders!$D520,products!$A$1:$A$49,0),MATCH(orders!K$1,products!$A$1:$G$1,0))</f>
        <v>2.5</v>
      </c>
      <c r="L520">
        <f>INDEX(products!$A$1:$G$49,MATCH(orders!$D520,products!$A$1:$A$49,0),MATCH(orders!L$1,products!$A$1:$G$1,0))</f>
        <v>27.945</v>
      </c>
    </row>
    <row r="521" spans="1:12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>
        <f>IF(_xlfn.XLOOKUP(orders!C521,customers!$A:$A,customers!$C:$C,,0)=0,"",_xlfn.XLOOKUP(orders!C521,customers!$A:$A,customers!$C:$C,,0))</f>
        <v>murione5@alexa.com</v>
      </c>
      <c r="H521" s="2" t="str">
        <f>_xlfn.XLOOKUP(C521,customers!$A:$A,customers!$G:$G,,0)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>
        <f>INDEX(products!$A$1:$G$49,MATCH(orders!$D521,products!$A$1:$A$49,0),MATCH(orders!K$1,products!$A$1:$G$1,0))</f>
        <v>0.5</v>
      </c>
      <c r="L521">
        <f>INDEX(products!$A$1:$G$49,MATCH(orders!$D521,products!$A$1:$A$49,0),MATCH(orders!L$1,products!$A$1:$G$1,0))</f>
        <v>5.97</v>
      </c>
    </row>
    <row r="522" spans="1:12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>
        <f>IF(_xlfn.XLOOKUP(orders!C522,customers!$A:$A,customers!$C:$C,,0)=0,"",_xlfn.XLOOKUP(orders!C522,customers!$A:$A,customers!$C:$C,,0))</f>
        <v>marmisteadeg@blogtalkradio.com</v>
      </c>
      <c r="H522" s="2" t="str">
        <f>_xlfn.XLOOKUP(C522,customers!$A:$A,customers!$G:$G,,0)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>
        <f>INDEX(products!$A$1:$G$49,MATCH(orders!$D522,products!$A$1:$A$49,0),MATCH(orders!K$1,products!$A$1:$G$1,0))</f>
        <v>0.2</v>
      </c>
      <c r="L522">
        <f>INDEX(products!$A$1:$G$49,MATCH(orders!$D522,products!$A$1:$A$49,0),MATCH(orders!L$1,products!$A$1:$G$1,0))</f>
        <v>3.8849999999999998</v>
      </c>
    </row>
    <row r="523" spans="1:12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>
        <f>IF(_xlfn.XLOOKUP(orders!C523,customers!$A:$A,customers!$C:$C,,0)=0,"",_xlfn.XLOOKUP(orders!C523,customers!$A:$A,customers!$C:$C,,0))</f>
        <v>marmisteadeg@blogtalkradio.com</v>
      </c>
      <c r="H523" s="2" t="str">
        <f>_xlfn.XLOOKUP(C523,customers!$A:$A,customers!$G:$G,,0)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>
        <f>INDEX(products!$A$1:$G$49,MATCH(orders!$D523,products!$A$1:$A$49,0),MATCH(orders!K$1,products!$A$1:$G$1,0))</f>
        <v>1</v>
      </c>
      <c r="L523">
        <f>INDEX(products!$A$1:$G$49,MATCH(orders!$D523,products!$A$1:$A$49,0),MATCH(orders!L$1,products!$A$1:$G$1,0))</f>
        <v>9.9499999999999993</v>
      </c>
    </row>
    <row r="524" spans="1:12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>
        <f>IF(_xlfn.XLOOKUP(orders!C524,customers!$A:$A,customers!$C:$C,,0)=0,"",_xlfn.XLOOKUP(orders!C524,customers!$A:$A,customers!$C:$C,,0))</f>
        <v>vupstoneei@google.pl</v>
      </c>
      <c r="H524" s="2" t="str">
        <f>_xlfn.XLOOKUP(C524,customers!$A:$A,customers!$G:$G,,0)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>
        <f>INDEX(products!$A$1:$G$49,MATCH(orders!$D524,products!$A$1:$A$49,0),MATCH(orders!K$1,products!$A$1:$G$1,0))</f>
        <v>0.5</v>
      </c>
      <c r="L524">
        <f>INDEX(products!$A$1:$G$49,MATCH(orders!$D524,products!$A$1:$A$49,0),MATCH(orders!L$1,products!$A$1:$G$1,0))</f>
        <v>5.97</v>
      </c>
    </row>
    <row r="525" spans="1:12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>
        <f>IF(_xlfn.XLOOKUP(orders!C525,customers!$A:$A,customers!$C:$C,,0)=0,"",_xlfn.XLOOKUP(orders!C525,customers!$A:$A,customers!$C:$C,,0))</f>
        <v>bbeelbyej@rediff.com</v>
      </c>
      <c r="H525" s="2" t="str">
        <f>_xlfn.XLOOKUP(C525,customers!$A:$A,customers!$G:$G,,0)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>
        <f>INDEX(products!$A$1:$G$49,MATCH(orders!$D525,products!$A$1:$A$49,0),MATCH(orders!K$1,products!$A$1:$G$1,0))</f>
        <v>2.5</v>
      </c>
      <c r="L525">
        <f>INDEX(products!$A$1:$G$49,MATCH(orders!$D525,products!$A$1:$A$49,0),MATCH(orders!L$1,products!$A$1:$G$1,0))</f>
        <v>29.784999999999997</v>
      </c>
    </row>
    <row r="526" spans="1:12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 t="str">
        <f>IF(_xlfn.XLOOKUP(orders!C526,customers!$A:$A,customers!$C:$C,,0)=0,"",_xlfn.XLOOKUP(orders!C526,customers!$A:$A,customers!$C:$C,,0))</f>
        <v/>
      </c>
      <c r="H526" s="2" t="str">
        <f>_xlfn.XLOOKUP(C526,customers!$A:$A,customers!$G:$G,,0)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>
        <f>INDEX(products!$A$1:$G$49,MATCH(orders!$D526,products!$A$1:$A$49,0),MATCH(orders!K$1,products!$A$1:$G$1,0))</f>
        <v>2.5</v>
      </c>
      <c r="L526">
        <f>INDEX(products!$A$1:$G$49,MATCH(orders!$D526,products!$A$1:$A$49,0),MATCH(orders!L$1,products!$A$1:$G$1,0))</f>
        <v>36.454999999999998</v>
      </c>
    </row>
    <row r="527" spans="1:12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 t="str">
        <f>IF(_xlfn.XLOOKUP(orders!C527,customers!$A:$A,customers!$C:$C,,0)=0,"",_xlfn.XLOOKUP(orders!C527,customers!$A:$A,customers!$C:$C,,0))</f>
        <v/>
      </c>
      <c r="H527" s="2" t="str">
        <f>_xlfn.XLOOKUP(C527,customers!$A:$A,customers!$G:$G,,0)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>
        <f>INDEX(products!$A$1:$G$49,MATCH(orders!$D527,products!$A$1:$A$49,0),MATCH(orders!K$1,products!$A$1:$G$1,0))</f>
        <v>0.2</v>
      </c>
      <c r="L527">
        <f>INDEX(products!$A$1:$G$49,MATCH(orders!$D527,products!$A$1:$A$49,0),MATCH(orders!L$1,products!$A$1:$G$1,0))</f>
        <v>2.6849999999999996</v>
      </c>
    </row>
    <row r="528" spans="1:12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>
        <f>IF(_xlfn.XLOOKUP(orders!C528,customers!$A:$A,customers!$C:$C,,0)=0,"",_xlfn.XLOOKUP(orders!C528,customers!$A:$A,customers!$C:$C,,0))</f>
        <v>wspeechlyem@amazon.com</v>
      </c>
      <c r="H528" s="2" t="str">
        <f>_xlfn.XLOOKUP(C528,customers!$A:$A,customers!$G:$G,,0)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>
        <f>INDEX(products!$A$1:$G$49,MATCH(orders!$D528,products!$A$1:$A$49,0),MATCH(orders!K$1,products!$A$1:$G$1,0))</f>
        <v>2.5</v>
      </c>
      <c r="L528">
        <f>INDEX(products!$A$1:$G$49,MATCH(orders!$D528,products!$A$1:$A$49,0),MATCH(orders!L$1,products!$A$1:$G$1,0))</f>
        <v>31.624999999999996</v>
      </c>
    </row>
    <row r="529" spans="1:12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>
        <f>IF(_xlfn.XLOOKUP(orders!C529,customers!$A:$A,customers!$C:$C,,0)=0,"",_xlfn.XLOOKUP(orders!C529,customers!$A:$A,customers!$C:$C,,0))</f>
        <v>iphillpoten@buzzfeed.com</v>
      </c>
      <c r="H529" s="2" t="str">
        <f>_xlfn.XLOOKUP(C529,customers!$A:$A,customers!$G:$G,,0)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>
        <f>INDEX(products!$A$1:$G$49,MATCH(orders!$D529,products!$A$1:$A$49,0),MATCH(orders!K$1,products!$A$1:$G$1,0))</f>
        <v>0.5</v>
      </c>
      <c r="L529">
        <f>INDEX(products!$A$1:$G$49,MATCH(orders!$D529,products!$A$1:$A$49,0),MATCH(orders!L$1,products!$A$1:$G$1,0))</f>
        <v>8.25</v>
      </c>
    </row>
    <row r="530" spans="1:12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>
        <f>IF(_xlfn.XLOOKUP(orders!C530,customers!$A:$A,customers!$C:$C,,0)=0,"",_xlfn.XLOOKUP(orders!C530,customers!$A:$A,customers!$C:$C,,0))</f>
        <v>lpennaccieo@statcounter.com</v>
      </c>
      <c r="H530" s="2" t="str">
        <f>_xlfn.XLOOKUP(C530,customers!$A:$A,customers!$G:$G,,0)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>
        <f>INDEX(products!$A$1:$G$49,MATCH(orders!$D530,products!$A$1:$A$49,0),MATCH(orders!K$1,products!$A$1:$G$1,0))</f>
        <v>0.5</v>
      </c>
      <c r="L530">
        <f>INDEX(products!$A$1:$G$49,MATCH(orders!$D530,products!$A$1:$A$49,0),MATCH(orders!L$1,products!$A$1:$G$1,0))</f>
        <v>8.91</v>
      </c>
    </row>
    <row r="531" spans="1:12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>
        <f>IF(_xlfn.XLOOKUP(orders!C531,customers!$A:$A,customers!$C:$C,,0)=0,"",_xlfn.XLOOKUP(orders!C531,customers!$A:$A,customers!$C:$C,,0))</f>
        <v>sarpinep@moonfruit.com</v>
      </c>
      <c r="H531" s="2" t="str">
        <f>_xlfn.XLOOKUP(C531,customers!$A:$A,customers!$G:$G,,0)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>
        <f>INDEX(products!$A$1:$G$49,MATCH(orders!$D531,products!$A$1:$A$49,0),MATCH(orders!K$1,products!$A$1:$G$1,0))</f>
        <v>1</v>
      </c>
      <c r="L531">
        <f>INDEX(products!$A$1:$G$49,MATCH(orders!$D531,products!$A$1:$A$49,0),MATCH(orders!L$1,products!$A$1:$G$1,0))</f>
        <v>9.9499999999999993</v>
      </c>
    </row>
    <row r="532" spans="1:12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>
        <f>IF(_xlfn.XLOOKUP(orders!C532,customers!$A:$A,customers!$C:$C,,0)=0,"",_xlfn.XLOOKUP(orders!C532,customers!$A:$A,customers!$C:$C,,0))</f>
        <v>dfrieseq@cargocollective.com</v>
      </c>
      <c r="H532" s="2" t="str">
        <f>_xlfn.XLOOKUP(C532,customers!$A:$A,customers!$G:$G,,0)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>
        <f>INDEX(products!$A$1:$G$49,MATCH(orders!$D532,products!$A$1:$A$49,0),MATCH(orders!K$1,products!$A$1:$G$1,0))</f>
        <v>1</v>
      </c>
      <c r="L532">
        <f>INDEX(products!$A$1:$G$49,MATCH(orders!$D532,products!$A$1:$A$49,0),MATCH(orders!L$1,products!$A$1:$G$1,0))</f>
        <v>9.9499999999999993</v>
      </c>
    </row>
    <row r="533" spans="1:12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>
        <f>IF(_xlfn.XLOOKUP(orders!C533,customers!$A:$A,customers!$C:$C,,0)=0,"",_xlfn.XLOOKUP(orders!C533,customers!$A:$A,customers!$C:$C,,0))</f>
        <v>rsharerer@flavors.me</v>
      </c>
      <c r="H533" s="2" t="str">
        <f>_xlfn.XLOOKUP(C533,customers!$A:$A,customers!$G:$G,,0)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>
        <f>INDEX(products!$A$1:$G$49,MATCH(orders!$D533,products!$A$1:$A$49,0),MATCH(orders!K$1,products!$A$1:$G$1,0))</f>
        <v>1</v>
      </c>
      <c r="L533">
        <f>INDEX(products!$A$1:$G$49,MATCH(orders!$D533,products!$A$1:$A$49,0),MATCH(orders!L$1,products!$A$1:$G$1,0))</f>
        <v>8.9499999999999993</v>
      </c>
    </row>
    <row r="534" spans="1:12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>
        <f>IF(_xlfn.XLOOKUP(orders!C534,customers!$A:$A,customers!$C:$C,,0)=0,"",_xlfn.XLOOKUP(orders!C534,customers!$A:$A,customers!$C:$C,,0))</f>
        <v>nnasebyes@umich.edu</v>
      </c>
      <c r="H534" s="2" t="str">
        <f>_xlfn.XLOOKUP(C534,customers!$A:$A,customers!$G:$G,,0)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>
        <f>INDEX(products!$A$1:$G$49,MATCH(orders!$D534,products!$A$1:$A$49,0),MATCH(orders!K$1,products!$A$1:$G$1,0))</f>
        <v>0.5</v>
      </c>
      <c r="L534">
        <f>INDEX(products!$A$1:$G$49,MATCH(orders!$D534,products!$A$1:$A$49,0),MATCH(orders!L$1,products!$A$1:$G$1,0))</f>
        <v>8.25</v>
      </c>
    </row>
    <row r="535" spans="1:12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 t="str">
        <f>IF(_xlfn.XLOOKUP(orders!C535,customers!$A:$A,customers!$C:$C,,0)=0,"",_xlfn.XLOOKUP(orders!C535,customers!$A:$A,customers!$C:$C,,0))</f>
        <v/>
      </c>
      <c r="H535" s="2" t="str">
        <f>_xlfn.XLOOKUP(C535,customers!$A:$A,customers!$G:$G,,0)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>
        <f>INDEX(products!$A$1:$G$49,MATCH(orders!$D535,products!$A$1:$A$49,0),MATCH(orders!K$1,products!$A$1:$G$1,0))</f>
        <v>0.5</v>
      </c>
      <c r="L535">
        <f>INDEX(products!$A$1:$G$49,MATCH(orders!$D535,products!$A$1:$A$49,0),MATCH(orders!L$1,products!$A$1:$G$1,0))</f>
        <v>5.3699999999999992</v>
      </c>
    </row>
    <row r="536" spans="1:12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>
        <f>IF(_xlfn.XLOOKUP(orders!C536,customers!$A:$A,customers!$C:$C,,0)=0,"",_xlfn.XLOOKUP(orders!C536,customers!$A:$A,customers!$C:$C,,0))</f>
        <v>koculleneu@ca.gov</v>
      </c>
      <c r="H536" s="2" t="str">
        <f>_xlfn.XLOOKUP(C536,customers!$A:$A,customers!$G:$G,,0)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>
        <f>INDEX(products!$A$1:$G$49,MATCH(orders!$D536,products!$A$1:$A$49,0),MATCH(orders!K$1,products!$A$1:$G$1,0))</f>
        <v>2.5</v>
      </c>
      <c r="L536">
        <f>INDEX(products!$A$1:$G$49,MATCH(orders!$D536,products!$A$1:$A$49,0),MATCH(orders!L$1,products!$A$1:$G$1,0))</f>
        <v>22.884999999999998</v>
      </c>
    </row>
    <row r="537" spans="1:12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 t="str">
        <f>IF(_xlfn.XLOOKUP(orders!C537,customers!$A:$A,customers!$C:$C,,0)=0,"",_xlfn.XLOOKUP(orders!C537,customers!$A:$A,customers!$C:$C,,0))</f>
        <v/>
      </c>
      <c r="H537" s="2" t="str">
        <f>_xlfn.XLOOKUP(C537,customers!$A:$A,customers!$G:$G,,0)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>
        <f>INDEX(products!$A$1:$G$49,MATCH(orders!$D537,products!$A$1:$A$49,0),MATCH(orders!K$1,products!$A$1:$G$1,0))</f>
        <v>0.2</v>
      </c>
      <c r="L537">
        <f>INDEX(products!$A$1:$G$49,MATCH(orders!$D537,products!$A$1:$A$49,0),MATCH(orders!L$1,products!$A$1:$G$1,0))</f>
        <v>4.7549999999999999</v>
      </c>
    </row>
    <row r="538" spans="1:12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>
        <f>IF(_xlfn.XLOOKUP(orders!C538,customers!$A:$A,customers!$C:$C,,0)=0,"",_xlfn.XLOOKUP(orders!C538,customers!$A:$A,customers!$C:$C,,0))</f>
        <v>murione5@alexa.com</v>
      </c>
      <c r="H538" s="2" t="str">
        <f>_xlfn.XLOOKUP(C538,customers!$A:$A,customers!$G:$G,,0)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>
        <f>INDEX(products!$A$1:$G$49,MATCH(orders!$D538,products!$A$1:$A$49,0),MATCH(orders!K$1,products!$A$1:$G$1,0))</f>
        <v>0.2</v>
      </c>
      <c r="L538">
        <f>INDEX(products!$A$1:$G$49,MATCH(orders!$D538,products!$A$1:$A$49,0),MATCH(orders!L$1,products!$A$1:$G$1,0))</f>
        <v>2.6849999999999996</v>
      </c>
    </row>
    <row r="539" spans="1:12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>
        <f>IF(_xlfn.XLOOKUP(orders!C539,customers!$A:$A,customers!$C:$C,,0)=0,"",_xlfn.XLOOKUP(orders!C539,customers!$A:$A,customers!$C:$C,,0))</f>
        <v>hbranganex@woothemes.com</v>
      </c>
      <c r="H539" s="2" t="str">
        <f>_xlfn.XLOOKUP(C539,customers!$A:$A,customers!$G:$G,,0)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>
        <f>INDEX(products!$A$1:$G$49,MATCH(orders!$D539,products!$A$1:$A$49,0),MATCH(orders!K$1,products!$A$1:$G$1,0))</f>
        <v>2.5</v>
      </c>
      <c r="L539">
        <f>INDEX(products!$A$1:$G$49,MATCH(orders!$D539,products!$A$1:$A$49,0),MATCH(orders!L$1,products!$A$1:$G$1,0))</f>
        <v>27.945</v>
      </c>
    </row>
    <row r="540" spans="1:12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>
        <f>IF(_xlfn.XLOOKUP(orders!C540,customers!$A:$A,customers!$C:$C,,0)=0,"",_xlfn.XLOOKUP(orders!C540,customers!$A:$A,customers!$C:$C,,0))</f>
        <v>agallyoney@engadget.com</v>
      </c>
      <c r="H540" s="2" t="str">
        <f>_xlfn.XLOOKUP(C540,customers!$A:$A,customers!$G:$G,,0)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>
        <f>INDEX(products!$A$1:$G$49,MATCH(orders!$D540,products!$A$1:$A$49,0),MATCH(orders!K$1,products!$A$1:$G$1,0))</f>
        <v>0.2</v>
      </c>
      <c r="L540">
        <f>INDEX(products!$A$1:$G$49,MATCH(orders!$D540,products!$A$1:$A$49,0),MATCH(orders!L$1,products!$A$1:$G$1,0))</f>
        <v>2.6849999999999996</v>
      </c>
    </row>
    <row r="541" spans="1:12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>
        <f>IF(_xlfn.XLOOKUP(orders!C541,customers!$A:$A,customers!$C:$C,,0)=0,"",_xlfn.XLOOKUP(orders!C541,customers!$A:$A,customers!$C:$C,,0))</f>
        <v>bdomangeez@yahoo.co.jp</v>
      </c>
      <c r="H541" s="2" t="str">
        <f>_xlfn.XLOOKUP(C541,customers!$A:$A,customers!$G:$G,,0)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>
        <f>INDEX(products!$A$1:$G$49,MATCH(orders!$D541,products!$A$1:$A$49,0),MATCH(orders!K$1,products!$A$1:$G$1,0))</f>
        <v>0.5</v>
      </c>
      <c r="L541">
        <f>INDEX(products!$A$1:$G$49,MATCH(orders!$D541,products!$A$1:$A$49,0),MATCH(orders!L$1,products!$A$1:$G$1,0))</f>
        <v>5.3699999999999992</v>
      </c>
    </row>
    <row r="542" spans="1:12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>
        <f>IF(_xlfn.XLOOKUP(orders!C542,customers!$A:$A,customers!$C:$C,,0)=0,"",_xlfn.XLOOKUP(orders!C542,customers!$A:$A,customers!$C:$C,,0))</f>
        <v>koslerf0@gmpg.org</v>
      </c>
      <c r="H542" s="2" t="str">
        <f>_xlfn.XLOOKUP(C542,customers!$A:$A,customers!$G:$G,,0)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>
        <f>INDEX(products!$A$1:$G$49,MATCH(orders!$D542,products!$A$1:$A$49,0),MATCH(orders!K$1,products!$A$1:$G$1,0))</f>
        <v>1</v>
      </c>
      <c r="L542">
        <f>INDEX(products!$A$1:$G$49,MATCH(orders!$D542,products!$A$1:$A$49,0),MATCH(orders!L$1,products!$A$1:$G$1,0))</f>
        <v>15.85</v>
      </c>
    </row>
    <row r="543" spans="1:12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 t="str">
        <f>IF(_xlfn.XLOOKUP(orders!C543,customers!$A:$A,customers!$C:$C,,0)=0,"",_xlfn.XLOOKUP(orders!C543,customers!$A:$A,customers!$C:$C,,0))</f>
        <v/>
      </c>
      <c r="H543" s="2" t="str">
        <f>_xlfn.XLOOKUP(C543,customers!$A:$A,customers!$G:$G,,0)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>
        <f>INDEX(products!$A$1:$G$49,MATCH(orders!$D543,products!$A$1:$A$49,0),MATCH(orders!K$1,products!$A$1:$G$1,0))</f>
        <v>2.5</v>
      </c>
      <c r="L543">
        <f>INDEX(products!$A$1:$G$49,MATCH(orders!$D543,products!$A$1:$A$49,0),MATCH(orders!L$1,products!$A$1:$G$1,0))</f>
        <v>22.884999999999998</v>
      </c>
    </row>
    <row r="544" spans="1:12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>
        <f>IF(_xlfn.XLOOKUP(orders!C544,customers!$A:$A,customers!$C:$C,,0)=0,"",_xlfn.XLOOKUP(orders!C544,customers!$A:$A,customers!$C:$C,,0))</f>
        <v>zpellettf2@dailymotion.com</v>
      </c>
      <c r="H544" s="2" t="str">
        <f>_xlfn.XLOOKUP(C544,customers!$A:$A,customers!$G:$G,,0)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>
        <f>INDEX(products!$A$1:$G$49,MATCH(orders!$D544,products!$A$1:$A$49,0),MATCH(orders!K$1,products!$A$1:$G$1,0))</f>
        <v>2.5</v>
      </c>
      <c r="L544">
        <f>INDEX(products!$A$1:$G$49,MATCH(orders!$D544,products!$A$1:$A$49,0),MATCH(orders!L$1,products!$A$1:$G$1,0))</f>
        <v>25.874999999999996</v>
      </c>
    </row>
    <row r="545" spans="1:12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>
        <f>IF(_xlfn.XLOOKUP(orders!C545,customers!$A:$A,customers!$C:$C,,0)=0,"",_xlfn.XLOOKUP(orders!C545,customers!$A:$A,customers!$C:$C,,0))</f>
        <v>isprakesf3@spiegel.de</v>
      </c>
      <c r="H545" s="2" t="str">
        <f>_xlfn.XLOOKUP(C545,customers!$A:$A,customers!$G:$G,,0)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>
        <f>INDEX(products!$A$1:$G$49,MATCH(orders!$D545,products!$A$1:$A$49,0),MATCH(orders!K$1,products!$A$1:$G$1,0))</f>
        <v>2.5</v>
      </c>
      <c r="L545">
        <f>INDEX(products!$A$1:$G$49,MATCH(orders!$D545,products!$A$1:$A$49,0),MATCH(orders!L$1,products!$A$1:$G$1,0))</f>
        <v>27.484999999999996</v>
      </c>
    </row>
    <row r="546" spans="1:12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>
        <f>IF(_xlfn.XLOOKUP(orders!C546,customers!$A:$A,customers!$C:$C,,0)=0,"",_xlfn.XLOOKUP(orders!C546,customers!$A:$A,customers!$C:$C,,0))</f>
        <v>hfromantf4@ucsd.edu</v>
      </c>
      <c r="H546" s="2" t="str">
        <f>_xlfn.XLOOKUP(C546,customers!$A:$A,customers!$G:$G,,0)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>
        <f>INDEX(products!$A$1:$G$49,MATCH(orders!$D546,products!$A$1:$A$49,0),MATCH(orders!K$1,products!$A$1:$G$1,0))</f>
        <v>0.5</v>
      </c>
      <c r="L546">
        <f>INDEX(products!$A$1:$G$49,MATCH(orders!$D546,products!$A$1:$A$49,0),MATCH(orders!L$1,products!$A$1:$G$1,0))</f>
        <v>7.77</v>
      </c>
    </row>
    <row r="547" spans="1:12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>
        <f>IF(_xlfn.XLOOKUP(orders!C547,customers!$A:$A,customers!$C:$C,,0)=0,"",_xlfn.XLOOKUP(orders!C547,customers!$A:$A,customers!$C:$C,,0))</f>
        <v>rflearf5@artisteer.com</v>
      </c>
      <c r="H547" s="2" t="str">
        <f>_xlfn.XLOOKUP(C547,customers!$A:$A,customers!$G:$G,,0)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>
        <f>INDEX(products!$A$1:$G$49,MATCH(orders!$D547,products!$A$1:$A$49,0),MATCH(orders!K$1,products!$A$1:$G$1,0))</f>
        <v>0.2</v>
      </c>
      <c r="L547">
        <f>INDEX(products!$A$1:$G$49,MATCH(orders!$D547,products!$A$1:$A$49,0),MATCH(orders!L$1,products!$A$1:$G$1,0))</f>
        <v>3.8849999999999998</v>
      </c>
    </row>
    <row r="548" spans="1:12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 t="str">
        <f>IF(_xlfn.XLOOKUP(orders!C548,customers!$A:$A,customers!$C:$C,,0)=0,"",_xlfn.XLOOKUP(orders!C548,customers!$A:$A,customers!$C:$C,,0))</f>
        <v/>
      </c>
      <c r="H548" s="2" t="str">
        <f>_xlfn.XLOOKUP(C548,customers!$A:$A,customers!$G:$G,,0)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>
        <f>INDEX(products!$A$1:$G$49,MATCH(orders!$D548,products!$A$1:$A$49,0),MATCH(orders!K$1,products!$A$1:$G$1,0))</f>
        <v>2.5</v>
      </c>
      <c r="L548">
        <f>INDEX(products!$A$1:$G$49,MATCH(orders!$D548,products!$A$1:$A$49,0),MATCH(orders!L$1,products!$A$1:$G$1,0))</f>
        <v>27.945</v>
      </c>
    </row>
    <row r="549" spans="1:12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>
        <f>IF(_xlfn.XLOOKUP(orders!C549,customers!$A:$A,customers!$C:$C,,0)=0,"",_xlfn.XLOOKUP(orders!C549,customers!$A:$A,customers!$C:$C,,0))</f>
        <v>wlightollersf9@baidu.com</v>
      </c>
      <c r="H549" s="2" t="str">
        <f>_xlfn.XLOOKUP(C549,customers!$A:$A,customers!$G:$G,,0)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>
        <f>INDEX(products!$A$1:$G$49,MATCH(orders!$D549,products!$A$1:$A$49,0),MATCH(orders!K$1,products!$A$1:$G$1,0))</f>
        <v>0.2</v>
      </c>
      <c r="L549">
        <f>INDEX(products!$A$1:$G$49,MATCH(orders!$D549,products!$A$1:$A$49,0),MATCH(orders!L$1,products!$A$1:$G$1,0))</f>
        <v>3.5849999999999995</v>
      </c>
    </row>
    <row r="550" spans="1:12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>
        <f>IF(_xlfn.XLOOKUP(orders!C550,customers!$A:$A,customers!$C:$C,,0)=0,"",_xlfn.XLOOKUP(orders!C550,customers!$A:$A,customers!$C:$C,,0))</f>
        <v>bmundenf8@elpais.com</v>
      </c>
      <c r="H550" s="2" t="str">
        <f>_xlfn.XLOOKUP(C550,customers!$A:$A,customers!$G:$G,,0)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>
        <f>INDEX(products!$A$1:$G$49,MATCH(orders!$D550,products!$A$1:$A$49,0),MATCH(orders!K$1,products!$A$1:$G$1,0))</f>
        <v>0.2</v>
      </c>
      <c r="L550">
        <f>INDEX(products!$A$1:$G$49,MATCH(orders!$D550,products!$A$1:$A$49,0),MATCH(orders!L$1,products!$A$1:$G$1,0))</f>
        <v>4.4550000000000001</v>
      </c>
    </row>
    <row r="551" spans="1:12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>
        <f>IF(_xlfn.XLOOKUP(orders!C551,customers!$A:$A,customers!$C:$C,,0)=0,"",_xlfn.XLOOKUP(orders!C551,customers!$A:$A,customers!$C:$C,,0))</f>
        <v>wlightollersf9@baidu.com</v>
      </c>
      <c r="H551" s="2" t="str">
        <f>_xlfn.XLOOKUP(C551,customers!$A:$A,customers!$G:$G,,0)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>
        <f>INDEX(products!$A$1:$G$49,MATCH(orders!$D551,products!$A$1:$A$49,0),MATCH(orders!K$1,products!$A$1:$G$1,0))</f>
        <v>0.2</v>
      </c>
      <c r="L551">
        <f>INDEX(products!$A$1:$G$49,MATCH(orders!$D551,products!$A$1:$A$49,0),MATCH(orders!L$1,products!$A$1:$G$1,0))</f>
        <v>4.4550000000000001</v>
      </c>
    </row>
    <row r="552" spans="1:12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>
        <f>IF(_xlfn.XLOOKUP(orders!C552,customers!$A:$A,customers!$C:$C,,0)=0,"",_xlfn.XLOOKUP(orders!C552,customers!$A:$A,customers!$C:$C,,0))</f>
        <v>nbrakespearfa@rediff.com</v>
      </c>
      <c r="H552" s="2" t="str">
        <f>_xlfn.XLOOKUP(C552,customers!$A:$A,customers!$G:$G,,0)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>
        <f>INDEX(products!$A$1:$G$49,MATCH(orders!$D552,products!$A$1:$A$49,0),MATCH(orders!K$1,products!$A$1:$G$1,0))</f>
        <v>0.2</v>
      </c>
      <c r="L552">
        <f>INDEX(products!$A$1:$G$49,MATCH(orders!$D552,products!$A$1:$A$49,0),MATCH(orders!L$1,products!$A$1:$G$1,0))</f>
        <v>3.8849999999999998</v>
      </c>
    </row>
    <row r="553" spans="1:12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>
        <f>IF(_xlfn.XLOOKUP(orders!C553,customers!$A:$A,customers!$C:$C,,0)=0,"",_xlfn.XLOOKUP(orders!C553,customers!$A:$A,customers!$C:$C,,0))</f>
        <v>mglawsopfb@reverbnation.com</v>
      </c>
      <c r="H553" s="2" t="str">
        <f>_xlfn.XLOOKUP(C553,customers!$A:$A,customers!$G:$G,,0)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>
        <f>INDEX(products!$A$1:$G$49,MATCH(orders!$D553,products!$A$1:$A$49,0),MATCH(orders!K$1,products!$A$1:$G$1,0))</f>
        <v>0.2</v>
      </c>
      <c r="L553">
        <f>INDEX(products!$A$1:$G$49,MATCH(orders!$D553,products!$A$1:$A$49,0),MATCH(orders!L$1,products!$A$1:$G$1,0))</f>
        <v>3.645</v>
      </c>
    </row>
    <row r="554" spans="1:12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>
        <f>IF(_xlfn.XLOOKUP(orders!C554,customers!$A:$A,customers!$C:$C,,0)=0,"",_xlfn.XLOOKUP(orders!C554,customers!$A:$A,customers!$C:$C,,0))</f>
        <v>galbertsfc@etsy.com</v>
      </c>
      <c r="H554" s="2" t="str">
        <f>_xlfn.XLOOKUP(C554,customers!$A:$A,customers!$G:$G,,0)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>
        <f>INDEX(products!$A$1:$G$49,MATCH(orders!$D554,products!$A$1:$A$49,0),MATCH(orders!K$1,products!$A$1:$G$1,0))</f>
        <v>0.2</v>
      </c>
      <c r="L554">
        <f>INDEX(products!$A$1:$G$49,MATCH(orders!$D554,products!$A$1:$A$49,0),MATCH(orders!L$1,products!$A$1:$G$1,0))</f>
        <v>4.4550000000000001</v>
      </c>
    </row>
    <row r="555" spans="1:12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>
        <f>IF(_xlfn.XLOOKUP(orders!C555,customers!$A:$A,customers!$C:$C,,0)=0,"",_xlfn.XLOOKUP(orders!C555,customers!$A:$A,customers!$C:$C,,0))</f>
        <v>vpolglasefd@about.me</v>
      </c>
      <c r="H555" s="2" t="str">
        <f>_xlfn.XLOOKUP(C555,customers!$A:$A,customers!$G:$G,,0)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>
        <f>INDEX(products!$A$1:$G$49,MATCH(orders!$D555,products!$A$1:$A$49,0),MATCH(orders!K$1,products!$A$1:$G$1,0))</f>
        <v>1</v>
      </c>
      <c r="L555">
        <f>INDEX(products!$A$1:$G$49,MATCH(orders!$D555,products!$A$1:$A$49,0),MATCH(orders!L$1,products!$A$1:$G$1,0))</f>
        <v>13.75</v>
      </c>
    </row>
    <row r="556" spans="1:12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 t="str">
        <f>IF(_xlfn.XLOOKUP(orders!C556,customers!$A:$A,customers!$C:$C,,0)=0,"",_xlfn.XLOOKUP(orders!C556,customers!$A:$A,customers!$C:$C,,0))</f>
        <v/>
      </c>
      <c r="H556" s="2" t="str">
        <f>_xlfn.XLOOKUP(C556,customers!$A:$A,customers!$G:$G,,0)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>
        <f>INDEX(products!$A$1:$G$49,MATCH(orders!$D556,products!$A$1:$A$49,0),MATCH(orders!K$1,products!$A$1:$G$1,0))</f>
        <v>2.5</v>
      </c>
      <c r="L556">
        <f>INDEX(products!$A$1:$G$49,MATCH(orders!$D556,products!$A$1:$A$49,0),MATCH(orders!L$1,products!$A$1:$G$1,0))</f>
        <v>27.484999999999996</v>
      </c>
    </row>
    <row r="557" spans="1:12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>
        <f>IF(_xlfn.XLOOKUP(orders!C557,customers!$A:$A,customers!$C:$C,,0)=0,"",_xlfn.XLOOKUP(orders!C557,customers!$A:$A,customers!$C:$C,,0))</f>
        <v>sbuschff@so-net.ne.jp</v>
      </c>
      <c r="H557" s="2" t="str">
        <f>_xlfn.XLOOKUP(C557,customers!$A:$A,customers!$G:$G,,0)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>
        <f>INDEX(products!$A$1:$G$49,MATCH(orders!$D557,products!$A$1:$A$49,0),MATCH(orders!K$1,products!$A$1:$G$1,0))</f>
        <v>1</v>
      </c>
      <c r="L557">
        <f>INDEX(products!$A$1:$G$49,MATCH(orders!$D557,products!$A$1:$A$49,0),MATCH(orders!L$1,products!$A$1:$G$1,0))</f>
        <v>13.75</v>
      </c>
    </row>
    <row r="558" spans="1:12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>
        <f>IF(_xlfn.XLOOKUP(orders!C558,customers!$A:$A,customers!$C:$C,,0)=0,"",_xlfn.XLOOKUP(orders!C558,customers!$A:$A,customers!$C:$C,,0))</f>
        <v>craisbeckfg@webnode.com</v>
      </c>
      <c r="H558" s="2" t="str">
        <f>_xlfn.XLOOKUP(C558,customers!$A:$A,customers!$G:$G,,0)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>
        <f>INDEX(products!$A$1:$G$49,MATCH(orders!$D558,products!$A$1:$A$49,0),MATCH(orders!K$1,products!$A$1:$G$1,0))</f>
        <v>0.2</v>
      </c>
      <c r="L558">
        <f>INDEX(products!$A$1:$G$49,MATCH(orders!$D558,products!$A$1:$A$49,0),MATCH(orders!L$1,products!$A$1:$G$1,0))</f>
        <v>4.3650000000000002</v>
      </c>
    </row>
    <row r="559" spans="1:12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>
        <f>IF(_xlfn.XLOOKUP(orders!C559,customers!$A:$A,customers!$C:$C,,0)=0,"",_xlfn.XLOOKUP(orders!C559,customers!$A:$A,customers!$C:$C,,0))</f>
        <v>murione5@alexa.com</v>
      </c>
      <c r="H559" s="2" t="str">
        <f>_xlfn.XLOOKUP(C559,customers!$A:$A,customers!$G:$G,,0)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>
        <f>INDEX(products!$A$1:$G$49,MATCH(orders!$D559,products!$A$1:$A$49,0),MATCH(orders!K$1,products!$A$1:$G$1,0))</f>
        <v>1</v>
      </c>
      <c r="L559">
        <f>INDEX(products!$A$1:$G$49,MATCH(orders!$D559,products!$A$1:$A$49,0),MATCH(orders!L$1,products!$A$1:$G$1,0))</f>
        <v>14.85</v>
      </c>
    </row>
    <row r="560" spans="1:12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 t="str">
        <f>IF(_xlfn.XLOOKUP(orders!C560,customers!$A:$A,customers!$C:$C,,0)=0,"",_xlfn.XLOOKUP(orders!C560,customers!$A:$A,customers!$C:$C,,0))</f>
        <v/>
      </c>
      <c r="H560" s="2" t="str">
        <f>_xlfn.XLOOKUP(C560,customers!$A:$A,customers!$G:$G,,0)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>
        <f>INDEX(products!$A$1:$G$49,MATCH(orders!$D560,products!$A$1:$A$49,0),MATCH(orders!K$1,products!$A$1:$G$1,0))</f>
        <v>0.2</v>
      </c>
      <c r="L560">
        <f>INDEX(products!$A$1:$G$49,MATCH(orders!$D560,products!$A$1:$A$49,0),MATCH(orders!L$1,products!$A$1:$G$1,0))</f>
        <v>3.8849999999999998</v>
      </c>
    </row>
    <row r="561" spans="1:12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>
        <f>IF(_xlfn.XLOOKUP(orders!C561,customers!$A:$A,customers!$C:$C,,0)=0,"",_xlfn.XLOOKUP(orders!C561,customers!$A:$A,customers!$C:$C,,0))</f>
        <v>raynoldfj@ustream.tv</v>
      </c>
      <c r="H561" s="2" t="str">
        <f>_xlfn.XLOOKUP(C561,customers!$A:$A,customers!$G:$G,,0)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>
        <f>INDEX(products!$A$1:$G$49,MATCH(orders!$D561,products!$A$1:$A$49,0),MATCH(orders!K$1,products!$A$1:$G$1,0))</f>
        <v>1</v>
      </c>
      <c r="L561">
        <f>INDEX(products!$A$1:$G$49,MATCH(orders!$D561,products!$A$1:$A$49,0),MATCH(orders!L$1,products!$A$1:$G$1,0))</f>
        <v>12.95</v>
      </c>
    </row>
    <row r="562" spans="1:12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 t="str">
        <f>IF(_xlfn.XLOOKUP(orders!C562,customers!$A:$A,customers!$C:$C,,0)=0,"",_xlfn.XLOOKUP(orders!C562,customers!$A:$A,customers!$C:$C,,0))</f>
        <v/>
      </c>
      <c r="H562" s="2" t="str">
        <f>_xlfn.XLOOKUP(C562,customers!$A:$A,customers!$G:$G,,0)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>
        <f>INDEX(products!$A$1:$G$49,MATCH(orders!$D562,products!$A$1:$A$49,0),MATCH(orders!K$1,products!$A$1:$G$1,0))</f>
        <v>2.5</v>
      </c>
      <c r="L562">
        <f>INDEX(products!$A$1:$G$49,MATCH(orders!$D562,products!$A$1:$A$49,0),MATCH(orders!L$1,products!$A$1:$G$1,0))</f>
        <v>31.624999999999996</v>
      </c>
    </row>
    <row r="563" spans="1:12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 t="str">
        <f>IF(_xlfn.XLOOKUP(orders!C563,customers!$A:$A,customers!$C:$C,,0)=0,"",_xlfn.XLOOKUP(orders!C563,customers!$A:$A,customers!$C:$C,,0))</f>
        <v/>
      </c>
      <c r="H563" s="2" t="str">
        <f>_xlfn.XLOOKUP(C563,customers!$A:$A,customers!$G:$G,,0)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>
        <f>INDEX(products!$A$1:$G$49,MATCH(orders!$D563,products!$A$1:$A$49,0),MATCH(orders!K$1,products!$A$1:$G$1,0))</f>
        <v>0.2</v>
      </c>
      <c r="L563">
        <f>INDEX(products!$A$1:$G$49,MATCH(orders!$D563,products!$A$1:$A$49,0),MATCH(orders!L$1,products!$A$1:$G$1,0))</f>
        <v>2.9849999999999999</v>
      </c>
    </row>
    <row r="564" spans="1:12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>
        <f>IF(_xlfn.XLOOKUP(orders!C564,customers!$A:$A,customers!$C:$C,,0)=0,"",_xlfn.XLOOKUP(orders!C564,customers!$A:$A,customers!$C:$C,,0))</f>
        <v>bgrecefm@naver.com</v>
      </c>
      <c r="H564" s="2" t="str">
        <f>_xlfn.XLOOKUP(C564,customers!$A:$A,customers!$G:$G,,0)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>
        <f>INDEX(products!$A$1:$G$49,MATCH(orders!$D564,products!$A$1:$A$49,0),MATCH(orders!K$1,products!$A$1:$G$1,0))</f>
        <v>0.2</v>
      </c>
      <c r="L564">
        <f>INDEX(products!$A$1:$G$49,MATCH(orders!$D564,products!$A$1:$A$49,0),MATCH(orders!L$1,products!$A$1:$G$1,0))</f>
        <v>4.7549999999999999</v>
      </c>
    </row>
    <row r="565" spans="1:12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>
        <f>IF(_xlfn.XLOOKUP(orders!C565,customers!$A:$A,customers!$C:$C,,0)=0,"",_xlfn.XLOOKUP(orders!C565,customers!$A:$A,customers!$C:$C,,0))</f>
        <v>dflintiffg1@e-recht24.de</v>
      </c>
      <c r="H565" s="2" t="str">
        <f>_xlfn.XLOOKUP(C565,customers!$A:$A,customers!$G:$G,,0)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>
        <f>INDEX(products!$A$1:$G$49,MATCH(orders!$D565,products!$A$1:$A$49,0),MATCH(orders!K$1,products!$A$1:$G$1,0))</f>
        <v>1</v>
      </c>
      <c r="L565">
        <f>INDEX(products!$A$1:$G$49,MATCH(orders!$D565,products!$A$1:$A$49,0),MATCH(orders!L$1,products!$A$1:$G$1,0))</f>
        <v>13.75</v>
      </c>
    </row>
    <row r="566" spans="1:12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>
        <f>IF(_xlfn.XLOOKUP(orders!C566,customers!$A:$A,customers!$C:$C,,0)=0,"",_xlfn.XLOOKUP(orders!C566,customers!$A:$A,customers!$C:$C,,0))</f>
        <v>athysfo@cdc.gov</v>
      </c>
      <c r="H566" s="2" t="str">
        <f>_xlfn.XLOOKUP(C566,customers!$A:$A,customers!$G:$G,,0)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>
        <f>INDEX(products!$A$1:$G$49,MATCH(orders!$D566,products!$A$1:$A$49,0),MATCH(orders!K$1,products!$A$1:$G$1,0))</f>
        <v>0.5</v>
      </c>
      <c r="L566">
        <f>INDEX(products!$A$1:$G$49,MATCH(orders!$D566,products!$A$1:$A$49,0),MATCH(orders!L$1,products!$A$1:$G$1,0))</f>
        <v>7.169999999999999</v>
      </c>
    </row>
    <row r="567" spans="1:12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>
        <f>IF(_xlfn.XLOOKUP(orders!C567,customers!$A:$A,customers!$C:$C,,0)=0,"",_xlfn.XLOOKUP(orders!C567,customers!$A:$A,customers!$C:$C,,0))</f>
        <v>jchuggfp@about.me</v>
      </c>
      <c r="H567" s="2" t="str">
        <f>_xlfn.XLOOKUP(C567,customers!$A:$A,customers!$G:$G,,0)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>
        <f>INDEX(products!$A$1:$G$49,MATCH(orders!$D567,products!$A$1:$A$49,0),MATCH(orders!K$1,products!$A$1:$G$1,0))</f>
        <v>2.5</v>
      </c>
      <c r="L567">
        <f>INDEX(products!$A$1:$G$49,MATCH(orders!$D567,products!$A$1:$A$49,0),MATCH(orders!L$1,products!$A$1:$G$1,0))</f>
        <v>20.584999999999997</v>
      </c>
    </row>
    <row r="568" spans="1:12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>
        <f>IF(_xlfn.XLOOKUP(orders!C568,customers!$A:$A,customers!$C:$C,,0)=0,"",_xlfn.XLOOKUP(orders!C568,customers!$A:$A,customers!$C:$C,,0))</f>
        <v>akelstonfq@sakura.ne.jp</v>
      </c>
      <c r="H568" s="2" t="str">
        <f>_xlfn.XLOOKUP(C568,customers!$A:$A,customers!$G:$G,,0)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>
        <f>INDEX(products!$A$1:$G$49,MATCH(orders!$D568,products!$A$1:$A$49,0),MATCH(orders!K$1,products!$A$1:$G$1,0))</f>
        <v>0.2</v>
      </c>
      <c r="L568">
        <f>INDEX(products!$A$1:$G$49,MATCH(orders!$D568,products!$A$1:$A$49,0),MATCH(orders!L$1,products!$A$1:$G$1,0))</f>
        <v>3.375</v>
      </c>
    </row>
    <row r="569" spans="1:12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 t="str">
        <f>IF(_xlfn.XLOOKUP(orders!C569,customers!$A:$A,customers!$C:$C,,0)=0,"",_xlfn.XLOOKUP(orders!C569,customers!$A:$A,customers!$C:$C,,0))</f>
        <v/>
      </c>
      <c r="H569" s="2" t="str">
        <f>_xlfn.XLOOKUP(C569,customers!$A:$A,customers!$G:$G,,0)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>
        <f>INDEX(products!$A$1:$G$49,MATCH(orders!$D569,products!$A$1:$A$49,0),MATCH(orders!K$1,products!$A$1:$G$1,0))</f>
        <v>2.5</v>
      </c>
      <c r="L569">
        <f>INDEX(products!$A$1:$G$49,MATCH(orders!$D569,products!$A$1:$A$49,0),MATCH(orders!L$1,products!$A$1:$G$1,0))</f>
        <v>27.484999999999996</v>
      </c>
    </row>
    <row r="570" spans="1:12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>
        <f>IF(_xlfn.XLOOKUP(orders!C570,customers!$A:$A,customers!$C:$C,,0)=0,"",_xlfn.XLOOKUP(orders!C570,customers!$A:$A,customers!$C:$C,,0))</f>
        <v>cmottramfs@harvard.edu</v>
      </c>
      <c r="H570" s="2" t="str">
        <f>_xlfn.XLOOKUP(C570,customers!$A:$A,customers!$G:$G,,0)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>
        <f>INDEX(products!$A$1:$G$49,MATCH(orders!$D570,products!$A$1:$A$49,0),MATCH(orders!K$1,products!$A$1:$G$1,0))</f>
        <v>0.2</v>
      </c>
      <c r="L570">
        <f>INDEX(products!$A$1:$G$49,MATCH(orders!$D570,products!$A$1:$A$49,0),MATCH(orders!L$1,products!$A$1:$G$1,0))</f>
        <v>4.7549999999999999</v>
      </c>
    </row>
    <row r="571" spans="1:12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>
        <f>IF(_xlfn.XLOOKUP(orders!C571,customers!$A:$A,customers!$C:$C,,0)=0,"",_xlfn.XLOOKUP(orders!C571,customers!$A:$A,customers!$C:$C,,0))</f>
        <v>dflintiffg1@e-recht24.de</v>
      </c>
      <c r="H571" s="2" t="str">
        <f>_xlfn.XLOOKUP(C571,customers!$A:$A,customers!$G:$G,,0)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>
        <f>INDEX(products!$A$1:$G$49,MATCH(orders!$D571,products!$A$1:$A$49,0),MATCH(orders!K$1,products!$A$1:$G$1,0))</f>
        <v>2.5</v>
      </c>
      <c r="L571">
        <f>INDEX(products!$A$1:$G$49,MATCH(orders!$D571,products!$A$1:$A$49,0),MATCH(orders!L$1,products!$A$1:$G$1,0))</f>
        <v>22.884999999999998</v>
      </c>
    </row>
    <row r="572" spans="1:12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>
        <f>IF(_xlfn.XLOOKUP(orders!C572,customers!$A:$A,customers!$C:$C,,0)=0,"",_xlfn.XLOOKUP(orders!C572,customers!$A:$A,customers!$C:$C,,0))</f>
        <v>dsangwinfu@weebly.com</v>
      </c>
      <c r="H572" s="2" t="str">
        <f>_xlfn.XLOOKUP(C572,customers!$A:$A,customers!$G:$G,,0)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>
        <f>INDEX(products!$A$1:$G$49,MATCH(orders!$D572,products!$A$1:$A$49,0),MATCH(orders!K$1,products!$A$1:$G$1,0))</f>
        <v>0.5</v>
      </c>
      <c r="L572">
        <f>INDEX(products!$A$1:$G$49,MATCH(orders!$D572,products!$A$1:$A$49,0),MATCH(orders!L$1,products!$A$1:$G$1,0))</f>
        <v>6.75</v>
      </c>
    </row>
    <row r="573" spans="1:12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>
        <f>IF(_xlfn.XLOOKUP(orders!C573,customers!$A:$A,customers!$C:$C,,0)=0,"",_xlfn.XLOOKUP(orders!C573,customers!$A:$A,customers!$C:$C,,0))</f>
        <v>eaizikowitzfv@virginia.edu</v>
      </c>
      <c r="H573" s="2" t="str">
        <f>_xlfn.XLOOKUP(C573,customers!$A:$A,customers!$G:$G,,0)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>
        <f>INDEX(products!$A$1:$G$49,MATCH(orders!$D573,products!$A$1:$A$49,0),MATCH(orders!K$1,products!$A$1:$G$1,0))</f>
        <v>0.5</v>
      </c>
      <c r="L573">
        <f>INDEX(products!$A$1:$G$49,MATCH(orders!$D573,products!$A$1:$A$49,0),MATCH(orders!L$1,products!$A$1:$G$1,0))</f>
        <v>8.91</v>
      </c>
    </row>
    <row r="574" spans="1:12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 t="str">
        <f>IF(_xlfn.XLOOKUP(orders!C574,customers!$A:$A,customers!$C:$C,,0)=0,"",_xlfn.XLOOKUP(orders!C574,customers!$A:$A,customers!$C:$C,,0))</f>
        <v/>
      </c>
      <c r="H574" s="2" t="str">
        <f>_xlfn.XLOOKUP(C574,customers!$A:$A,customers!$G:$G,,0)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>
        <f>INDEX(products!$A$1:$G$49,MATCH(orders!$D574,products!$A$1:$A$49,0),MATCH(orders!K$1,products!$A$1:$G$1,0))</f>
        <v>0.2</v>
      </c>
      <c r="L574">
        <f>INDEX(products!$A$1:$G$49,MATCH(orders!$D574,products!$A$1:$A$49,0),MATCH(orders!L$1,products!$A$1:$G$1,0))</f>
        <v>2.9849999999999999</v>
      </c>
    </row>
    <row r="575" spans="1:12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>
        <f>IF(_xlfn.XLOOKUP(orders!C575,customers!$A:$A,customers!$C:$C,,0)=0,"",_xlfn.XLOOKUP(orders!C575,customers!$A:$A,customers!$C:$C,,0))</f>
        <v>cvenourfx@ask.com</v>
      </c>
      <c r="H575" s="2" t="str">
        <f>_xlfn.XLOOKUP(C575,customers!$A:$A,customers!$G:$G,,0)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>
        <f>INDEX(products!$A$1:$G$49,MATCH(orders!$D575,products!$A$1:$A$49,0),MATCH(orders!K$1,products!$A$1:$G$1,0))</f>
        <v>1</v>
      </c>
      <c r="L575">
        <f>INDEX(products!$A$1:$G$49,MATCH(orders!$D575,products!$A$1:$A$49,0),MATCH(orders!L$1,products!$A$1:$G$1,0))</f>
        <v>11.25</v>
      </c>
    </row>
    <row r="576" spans="1:12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>
        <f>IF(_xlfn.XLOOKUP(orders!C576,customers!$A:$A,customers!$C:$C,,0)=0,"",_xlfn.XLOOKUP(orders!C576,customers!$A:$A,customers!$C:$C,,0))</f>
        <v>mharbyfy@163.com</v>
      </c>
      <c r="H576" s="2" t="str">
        <f>_xlfn.XLOOKUP(C576,customers!$A:$A,customers!$G:$G,,0)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>
        <f>INDEX(products!$A$1:$G$49,MATCH(orders!$D576,products!$A$1:$A$49,0),MATCH(orders!K$1,products!$A$1:$G$1,0))</f>
        <v>0.2</v>
      </c>
      <c r="L576">
        <f>INDEX(products!$A$1:$G$49,MATCH(orders!$D576,products!$A$1:$A$49,0),MATCH(orders!L$1,products!$A$1:$G$1,0))</f>
        <v>3.5849999999999995</v>
      </c>
    </row>
    <row r="577" spans="1:12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>
        <f>IF(_xlfn.XLOOKUP(orders!C577,customers!$A:$A,customers!$C:$C,,0)=0,"",_xlfn.XLOOKUP(orders!C577,customers!$A:$A,customers!$C:$C,,0))</f>
        <v>rthickpennyfz@cafepress.com</v>
      </c>
      <c r="H577" s="2" t="str">
        <f>_xlfn.XLOOKUP(C577,customers!$A:$A,customers!$G:$G,,0)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>
        <f>INDEX(products!$A$1:$G$49,MATCH(orders!$D577,products!$A$1:$A$49,0),MATCH(orders!K$1,products!$A$1:$G$1,0))</f>
        <v>2.5</v>
      </c>
      <c r="L577">
        <f>INDEX(products!$A$1:$G$49,MATCH(orders!$D577,products!$A$1:$A$49,0),MATCH(orders!L$1,products!$A$1:$G$1,0))</f>
        <v>33.464999999999996</v>
      </c>
    </row>
    <row r="578" spans="1:12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>
        <f>IF(_xlfn.XLOOKUP(orders!C578,customers!$A:$A,customers!$C:$C,,0)=0,"",_xlfn.XLOOKUP(orders!C578,customers!$A:$A,customers!$C:$C,,0))</f>
        <v>pormerodg0@redcross.org</v>
      </c>
      <c r="H578" s="2" t="str">
        <f>_xlfn.XLOOKUP(C578,customers!$A:$A,customers!$G:$G,,0)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>
        <f>INDEX(products!$A$1:$G$49,MATCH(orders!$D578,products!$A$1:$A$49,0),MATCH(orders!K$1,products!$A$1:$G$1,0))</f>
        <v>0.2</v>
      </c>
      <c r="L578">
        <f>INDEX(products!$A$1:$G$49,MATCH(orders!$D578,products!$A$1:$A$49,0),MATCH(orders!L$1,products!$A$1:$G$1,0))</f>
        <v>2.9849999999999999</v>
      </c>
    </row>
    <row r="579" spans="1:12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>
        <f>IF(_xlfn.XLOOKUP(orders!C579,customers!$A:$A,customers!$C:$C,,0)=0,"",_xlfn.XLOOKUP(orders!C579,customers!$A:$A,customers!$C:$C,,0))</f>
        <v>dflintiffg1@e-recht24.de</v>
      </c>
      <c r="H579" s="2" t="str">
        <f>_xlfn.XLOOKUP(C579,customers!$A:$A,customers!$G:$G,,0)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>
        <f>INDEX(products!$A$1:$G$49,MATCH(orders!$D579,products!$A$1:$A$49,0),MATCH(orders!K$1,products!$A$1:$G$1,0))</f>
        <v>1</v>
      </c>
      <c r="L579">
        <f>INDEX(products!$A$1:$G$49,MATCH(orders!$D579,products!$A$1:$A$49,0),MATCH(orders!L$1,products!$A$1:$G$1,0))</f>
        <v>14.55</v>
      </c>
    </row>
    <row r="580" spans="1:12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>
        <f>IF(_xlfn.XLOOKUP(orders!C580,customers!$A:$A,customers!$C:$C,,0)=0,"",_xlfn.XLOOKUP(orders!C580,customers!$A:$A,customers!$C:$C,,0))</f>
        <v>tzanettig2@gravatar.com</v>
      </c>
      <c r="H580" s="2" t="str">
        <f>_xlfn.XLOOKUP(C580,customers!$A:$A,customers!$G:$G,,0)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>
        <f>INDEX(products!$A$1:$G$49,MATCH(orders!$D580,products!$A$1:$A$49,0),MATCH(orders!K$1,products!$A$1:$G$1,0))</f>
        <v>0.2</v>
      </c>
      <c r="L580">
        <f>INDEX(products!$A$1:$G$49,MATCH(orders!$D580,products!$A$1:$A$49,0),MATCH(orders!L$1,products!$A$1:$G$1,0))</f>
        <v>4.4550000000000001</v>
      </c>
    </row>
    <row r="581" spans="1:12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>
        <f>IF(_xlfn.XLOOKUP(orders!C581,customers!$A:$A,customers!$C:$C,,0)=0,"",_xlfn.XLOOKUP(orders!C581,customers!$A:$A,customers!$C:$C,,0))</f>
        <v>tzanettig2@gravatar.com</v>
      </c>
      <c r="H581" s="2" t="str">
        <f>_xlfn.XLOOKUP(C581,customers!$A:$A,customers!$G:$G,,0)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>
        <f>INDEX(products!$A$1:$G$49,MATCH(orders!$D581,products!$A$1:$A$49,0),MATCH(orders!K$1,products!$A$1:$G$1,0))</f>
        <v>0.5</v>
      </c>
      <c r="L581">
        <f>INDEX(products!$A$1:$G$49,MATCH(orders!$D581,products!$A$1:$A$49,0),MATCH(orders!L$1,products!$A$1:$G$1,0))</f>
        <v>6.75</v>
      </c>
    </row>
    <row r="582" spans="1:12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>
        <f>IF(_xlfn.XLOOKUP(orders!C582,customers!$A:$A,customers!$C:$C,,0)=0,"",_xlfn.XLOOKUP(orders!C582,customers!$A:$A,customers!$C:$C,,0))</f>
        <v>rkirtleyg4@hatena.ne.jp</v>
      </c>
      <c r="H582" s="2" t="str">
        <f>_xlfn.XLOOKUP(C582,customers!$A:$A,customers!$G:$G,,0)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>
        <f>INDEX(products!$A$1:$G$49,MATCH(orders!$D582,products!$A$1:$A$49,0),MATCH(orders!K$1,products!$A$1:$G$1,0))</f>
        <v>1</v>
      </c>
      <c r="L582">
        <f>INDEX(products!$A$1:$G$49,MATCH(orders!$D582,products!$A$1:$A$49,0),MATCH(orders!L$1,products!$A$1:$G$1,0))</f>
        <v>14.85</v>
      </c>
    </row>
    <row r="583" spans="1:12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>
        <f>IF(_xlfn.XLOOKUP(orders!C583,customers!$A:$A,customers!$C:$C,,0)=0,"",_xlfn.XLOOKUP(orders!C583,customers!$A:$A,customers!$C:$C,,0))</f>
        <v>cclemencetg5@weather.com</v>
      </c>
      <c r="H583" s="2" t="str">
        <f>_xlfn.XLOOKUP(C583,customers!$A:$A,customers!$G:$G,,0)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>
        <f>INDEX(products!$A$1:$G$49,MATCH(orders!$D583,products!$A$1:$A$49,0),MATCH(orders!K$1,products!$A$1:$G$1,0))</f>
        <v>0.5</v>
      </c>
      <c r="L583">
        <f>INDEX(products!$A$1:$G$49,MATCH(orders!$D583,products!$A$1:$A$49,0),MATCH(orders!L$1,products!$A$1:$G$1,0))</f>
        <v>8.91</v>
      </c>
    </row>
    <row r="584" spans="1:12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>
        <f>IF(_xlfn.XLOOKUP(orders!C584,customers!$A:$A,customers!$C:$C,,0)=0,"",_xlfn.XLOOKUP(orders!C584,customers!$A:$A,customers!$C:$C,,0))</f>
        <v>rdonetg6@oakley.com</v>
      </c>
      <c r="H584" s="2" t="str">
        <f>_xlfn.XLOOKUP(C584,customers!$A:$A,customers!$G:$G,,0)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>
        <f>INDEX(products!$A$1:$G$49,MATCH(orders!$D584,products!$A$1:$A$49,0),MATCH(orders!K$1,products!$A$1:$G$1,0))</f>
        <v>1</v>
      </c>
      <c r="L584">
        <f>INDEX(products!$A$1:$G$49,MATCH(orders!$D584,products!$A$1:$A$49,0),MATCH(orders!L$1,products!$A$1:$G$1,0))</f>
        <v>12.15</v>
      </c>
    </row>
    <row r="585" spans="1:12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>
        <f>IF(_xlfn.XLOOKUP(orders!C585,customers!$A:$A,customers!$C:$C,,0)=0,"",_xlfn.XLOOKUP(orders!C585,customers!$A:$A,customers!$C:$C,,0))</f>
        <v>sgaweng7@creativecommons.org</v>
      </c>
      <c r="H585" s="2" t="str">
        <f>_xlfn.XLOOKUP(C585,customers!$A:$A,customers!$G:$G,,0)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>
        <f>INDEX(products!$A$1:$G$49,MATCH(orders!$D585,products!$A$1:$A$49,0),MATCH(orders!K$1,products!$A$1:$G$1,0))</f>
        <v>0.2</v>
      </c>
      <c r="L585">
        <f>INDEX(products!$A$1:$G$49,MATCH(orders!$D585,products!$A$1:$A$49,0),MATCH(orders!L$1,products!$A$1:$G$1,0))</f>
        <v>3.5849999999999995</v>
      </c>
    </row>
    <row r="586" spans="1:12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>
        <f>IF(_xlfn.XLOOKUP(orders!C586,customers!$A:$A,customers!$C:$C,,0)=0,"",_xlfn.XLOOKUP(orders!C586,customers!$A:$A,customers!$C:$C,,0))</f>
        <v>rreadieg8@guardian.co.uk</v>
      </c>
      <c r="H586" s="2" t="str">
        <f>_xlfn.XLOOKUP(C586,customers!$A:$A,customers!$G:$G,,0)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>
        <f>INDEX(products!$A$1:$G$49,MATCH(orders!$D586,products!$A$1:$A$49,0),MATCH(orders!K$1,products!$A$1:$G$1,0))</f>
        <v>0.2</v>
      </c>
      <c r="L586">
        <f>INDEX(products!$A$1:$G$49,MATCH(orders!$D586,products!$A$1:$A$49,0),MATCH(orders!L$1,products!$A$1:$G$1,0))</f>
        <v>3.5849999999999995</v>
      </c>
    </row>
    <row r="587" spans="1:12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>
        <f>IF(_xlfn.XLOOKUP(orders!C587,customers!$A:$A,customers!$C:$C,,0)=0,"",_xlfn.XLOOKUP(orders!C587,customers!$A:$A,customers!$C:$C,,0))</f>
        <v>cverissimogh@theglobeandmail.com</v>
      </c>
      <c r="H587" s="2" t="str">
        <f>_xlfn.XLOOKUP(C587,customers!$A:$A,customers!$G:$G,,0)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>
        <f>INDEX(products!$A$1:$G$49,MATCH(orders!$D587,products!$A$1:$A$49,0),MATCH(orders!K$1,products!$A$1:$G$1,0))</f>
        <v>0.5</v>
      </c>
      <c r="L587">
        <f>INDEX(products!$A$1:$G$49,MATCH(orders!$D587,products!$A$1:$A$49,0),MATCH(orders!L$1,products!$A$1:$G$1,0))</f>
        <v>8.25</v>
      </c>
    </row>
    <row r="588" spans="1:12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 t="str">
        <f>IF(_xlfn.XLOOKUP(orders!C588,customers!$A:$A,customers!$C:$C,,0)=0,"",_xlfn.XLOOKUP(orders!C588,customers!$A:$A,customers!$C:$C,,0))</f>
        <v/>
      </c>
      <c r="H588" s="2" t="str">
        <f>_xlfn.XLOOKUP(C588,customers!$A:$A,customers!$G:$G,,0)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>
        <f>INDEX(products!$A$1:$G$49,MATCH(orders!$D588,products!$A$1:$A$49,0),MATCH(orders!K$1,products!$A$1:$G$1,0))</f>
        <v>2.5</v>
      </c>
      <c r="L588">
        <f>INDEX(products!$A$1:$G$49,MATCH(orders!$D588,products!$A$1:$A$49,0),MATCH(orders!L$1,products!$A$1:$G$1,0))</f>
        <v>27.484999999999996</v>
      </c>
    </row>
    <row r="589" spans="1:12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>
        <f>IF(_xlfn.XLOOKUP(orders!C589,customers!$A:$A,customers!$C:$C,,0)=0,"",_xlfn.XLOOKUP(orders!C589,customers!$A:$A,customers!$C:$C,,0))</f>
        <v>bogb@elpais.com</v>
      </c>
      <c r="H589" s="2" t="str">
        <f>_xlfn.XLOOKUP(C589,customers!$A:$A,customers!$G:$G,,0)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>
        <f>INDEX(products!$A$1:$G$49,MATCH(orders!$D589,products!$A$1:$A$49,0),MATCH(orders!K$1,products!$A$1:$G$1,0))</f>
        <v>0.5</v>
      </c>
      <c r="L589">
        <f>INDEX(products!$A$1:$G$49,MATCH(orders!$D589,products!$A$1:$A$49,0),MATCH(orders!L$1,products!$A$1:$G$1,0))</f>
        <v>7.77</v>
      </c>
    </row>
    <row r="590" spans="1:12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>
        <f>IF(_xlfn.XLOOKUP(orders!C590,customers!$A:$A,customers!$C:$C,,0)=0,"",_xlfn.XLOOKUP(orders!C590,customers!$A:$A,customers!$C:$C,,0))</f>
        <v>vstansburygc@unblog.fr</v>
      </c>
      <c r="H590" s="2" t="str">
        <f>_xlfn.XLOOKUP(C590,customers!$A:$A,customers!$G:$G,,0)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>
        <f>INDEX(products!$A$1:$G$49,MATCH(orders!$D590,products!$A$1:$A$49,0),MATCH(orders!K$1,products!$A$1:$G$1,0))</f>
        <v>0.5</v>
      </c>
      <c r="L590">
        <f>INDEX(products!$A$1:$G$49,MATCH(orders!$D590,products!$A$1:$A$49,0),MATCH(orders!L$1,products!$A$1:$G$1,0))</f>
        <v>5.97</v>
      </c>
    </row>
    <row r="591" spans="1:12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>
        <f>IF(_xlfn.XLOOKUP(orders!C591,customers!$A:$A,customers!$C:$C,,0)=0,"",_xlfn.XLOOKUP(orders!C591,customers!$A:$A,customers!$C:$C,,0))</f>
        <v>dheinonengd@printfriendly.com</v>
      </c>
      <c r="H591" s="2" t="str">
        <f>_xlfn.XLOOKUP(C591,customers!$A:$A,customers!$G:$G,,0)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>
        <f>INDEX(products!$A$1:$G$49,MATCH(orders!$D591,products!$A$1:$A$49,0),MATCH(orders!K$1,products!$A$1:$G$1,0))</f>
        <v>2.5</v>
      </c>
      <c r="L591">
        <f>INDEX(products!$A$1:$G$49,MATCH(orders!$D591,products!$A$1:$A$49,0),MATCH(orders!L$1,products!$A$1:$G$1,0))</f>
        <v>34.154999999999994</v>
      </c>
    </row>
    <row r="592" spans="1:12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>
        <f>IF(_xlfn.XLOOKUP(orders!C592,customers!$A:$A,customers!$C:$C,,0)=0,"",_xlfn.XLOOKUP(orders!C592,customers!$A:$A,customers!$C:$C,,0))</f>
        <v>jshentonge@google.com.hk</v>
      </c>
      <c r="H592" s="2" t="str">
        <f>_xlfn.XLOOKUP(C592,customers!$A:$A,customers!$G:$G,,0)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>
        <f>INDEX(products!$A$1:$G$49,MATCH(orders!$D592,products!$A$1:$A$49,0),MATCH(orders!K$1,products!$A$1:$G$1,0))</f>
        <v>2.5</v>
      </c>
      <c r="L592">
        <f>INDEX(products!$A$1:$G$49,MATCH(orders!$D592,products!$A$1:$A$49,0),MATCH(orders!L$1,products!$A$1:$G$1,0))</f>
        <v>31.624999999999996</v>
      </c>
    </row>
    <row r="593" spans="1:12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>
        <f>IF(_xlfn.XLOOKUP(orders!C593,customers!$A:$A,customers!$C:$C,,0)=0,"",_xlfn.XLOOKUP(orders!C593,customers!$A:$A,customers!$C:$C,,0))</f>
        <v>jwilkissongf@nba.com</v>
      </c>
      <c r="H593" s="2" t="str">
        <f>_xlfn.XLOOKUP(C593,customers!$A:$A,customers!$G:$G,,0)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>
        <f>INDEX(products!$A$1:$G$49,MATCH(orders!$D593,products!$A$1:$A$49,0),MATCH(orders!K$1,products!$A$1:$G$1,0))</f>
        <v>0.2</v>
      </c>
      <c r="L593">
        <f>INDEX(products!$A$1:$G$49,MATCH(orders!$D593,products!$A$1:$A$49,0),MATCH(orders!L$1,products!$A$1:$G$1,0))</f>
        <v>2.6849999999999996</v>
      </c>
    </row>
    <row r="594" spans="1:12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 t="str">
        <f>IF(_xlfn.XLOOKUP(orders!C594,customers!$A:$A,customers!$C:$C,,0)=0,"",_xlfn.XLOOKUP(orders!C594,customers!$A:$A,customers!$C:$C,,0))</f>
        <v/>
      </c>
      <c r="H594" s="2" t="str">
        <f>_xlfn.XLOOKUP(C594,customers!$A:$A,customers!$G:$G,,0)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>
        <f>INDEX(products!$A$1:$G$49,MATCH(orders!$D594,products!$A$1:$A$49,0),MATCH(orders!K$1,products!$A$1:$G$1,0))</f>
        <v>2.5</v>
      </c>
      <c r="L594">
        <f>INDEX(products!$A$1:$G$49,MATCH(orders!$D594,products!$A$1:$A$49,0),MATCH(orders!L$1,products!$A$1:$G$1,0))</f>
        <v>25.874999999999996</v>
      </c>
    </row>
    <row r="595" spans="1:12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>
        <f>IF(_xlfn.XLOOKUP(orders!C595,customers!$A:$A,customers!$C:$C,,0)=0,"",_xlfn.XLOOKUP(orders!C595,customers!$A:$A,customers!$C:$C,,0))</f>
        <v>cverissimogh@theglobeandmail.com</v>
      </c>
      <c r="H595" s="2" t="str">
        <f>_xlfn.XLOOKUP(C595,customers!$A:$A,customers!$G:$G,,0)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>
        <f>INDEX(products!$A$1:$G$49,MATCH(orders!$D595,products!$A$1:$A$49,0),MATCH(orders!K$1,products!$A$1:$G$1,0))</f>
        <v>2.5</v>
      </c>
      <c r="L595">
        <f>INDEX(products!$A$1:$G$49,MATCH(orders!$D595,products!$A$1:$A$49,0),MATCH(orders!L$1,products!$A$1:$G$1,0))</f>
        <v>27.945</v>
      </c>
    </row>
    <row r="596" spans="1:12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>
        <f>IF(_xlfn.XLOOKUP(orders!C596,customers!$A:$A,customers!$C:$C,,0)=0,"",_xlfn.XLOOKUP(orders!C596,customers!$A:$A,customers!$C:$C,,0))</f>
        <v>gstarcksgi@abc.net.au</v>
      </c>
      <c r="H596" s="2" t="str">
        <f>_xlfn.XLOOKUP(C596,customers!$A:$A,customers!$G:$G,,0)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>
        <f>INDEX(products!$A$1:$G$49,MATCH(orders!$D596,products!$A$1:$A$49,0),MATCH(orders!K$1,products!$A$1:$G$1,0))</f>
        <v>2.5</v>
      </c>
      <c r="L596">
        <f>INDEX(products!$A$1:$G$49,MATCH(orders!$D596,products!$A$1:$A$49,0),MATCH(orders!L$1,products!$A$1:$G$1,0))</f>
        <v>29.784999999999997</v>
      </c>
    </row>
    <row r="597" spans="1:12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 t="str">
        <f>IF(_xlfn.XLOOKUP(orders!C597,customers!$A:$A,customers!$C:$C,,0)=0,"",_xlfn.XLOOKUP(orders!C597,customers!$A:$A,customers!$C:$C,,0))</f>
        <v/>
      </c>
      <c r="H597" s="2" t="str">
        <f>_xlfn.XLOOKUP(C597,customers!$A:$A,customers!$G:$G,,0)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>
        <f>INDEX(products!$A$1:$G$49,MATCH(orders!$D597,products!$A$1:$A$49,0),MATCH(orders!K$1,products!$A$1:$G$1,0))</f>
        <v>1</v>
      </c>
      <c r="L597">
        <f>INDEX(products!$A$1:$G$49,MATCH(orders!$D597,products!$A$1:$A$49,0),MATCH(orders!L$1,products!$A$1:$G$1,0))</f>
        <v>14.85</v>
      </c>
    </row>
    <row r="598" spans="1:12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>
        <f>IF(_xlfn.XLOOKUP(orders!C598,customers!$A:$A,customers!$C:$C,,0)=0,"",_xlfn.XLOOKUP(orders!C598,customers!$A:$A,customers!$C:$C,,0))</f>
        <v>kscholardgk@sbwire.com</v>
      </c>
      <c r="H598" s="2" t="str">
        <f>_xlfn.XLOOKUP(C598,customers!$A:$A,customers!$G:$G,,0)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>
        <f>INDEX(products!$A$1:$G$49,MATCH(orders!$D598,products!$A$1:$A$49,0),MATCH(orders!K$1,products!$A$1:$G$1,0))</f>
        <v>0.5</v>
      </c>
      <c r="L598">
        <f>INDEX(products!$A$1:$G$49,MATCH(orders!$D598,products!$A$1:$A$49,0),MATCH(orders!L$1,products!$A$1:$G$1,0))</f>
        <v>6.75</v>
      </c>
    </row>
    <row r="599" spans="1:12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>
        <f>IF(_xlfn.XLOOKUP(orders!C599,customers!$A:$A,customers!$C:$C,,0)=0,"",_xlfn.XLOOKUP(orders!C599,customers!$A:$A,customers!$C:$C,,0))</f>
        <v>bkindleygl@wikimedia.org</v>
      </c>
      <c r="H599" s="2" t="str">
        <f>_xlfn.XLOOKUP(C599,customers!$A:$A,customers!$G:$G,,0)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>
        <f>INDEX(products!$A$1:$G$49,MATCH(orders!$D599,products!$A$1:$A$49,0),MATCH(orders!K$1,products!$A$1:$G$1,0))</f>
        <v>2.5</v>
      </c>
      <c r="L599">
        <f>INDEX(products!$A$1:$G$49,MATCH(orders!$D599,products!$A$1:$A$49,0),MATCH(orders!L$1,products!$A$1:$G$1,0))</f>
        <v>36.454999999999998</v>
      </c>
    </row>
    <row r="600" spans="1:12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>
        <f>IF(_xlfn.XLOOKUP(orders!C600,customers!$A:$A,customers!$C:$C,,0)=0,"",_xlfn.XLOOKUP(orders!C600,customers!$A:$A,customers!$C:$C,,0))</f>
        <v>khammettgm@dmoz.org</v>
      </c>
      <c r="H600" s="2" t="str">
        <f>_xlfn.XLOOKUP(C600,customers!$A:$A,customers!$G:$G,,0)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>
        <f>INDEX(products!$A$1:$G$49,MATCH(orders!$D600,products!$A$1:$A$49,0),MATCH(orders!K$1,products!$A$1:$G$1,0))</f>
        <v>0.2</v>
      </c>
      <c r="L600">
        <f>INDEX(products!$A$1:$G$49,MATCH(orders!$D600,products!$A$1:$A$49,0),MATCH(orders!L$1,products!$A$1:$G$1,0))</f>
        <v>2.9849999999999999</v>
      </c>
    </row>
    <row r="601" spans="1:12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>
        <f>IF(_xlfn.XLOOKUP(orders!C601,customers!$A:$A,customers!$C:$C,,0)=0,"",_xlfn.XLOOKUP(orders!C601,customers!$A:$A,customers!$C:$C,,0))</f>
        <v>ahulburtgn@fda.gov</v>
      </c>
      <c r="H601" s="2" t="str">
        <f>_xlfn.XLOOKUP(C601,customers!$A:$A,customers!$G:$G,,0)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>
        <f>INDEX(products!$A$1:$G$49,MATCH(orders!$D601,products!$A$1:$A$49,0),MATCH(orders!K$1,products!$A$1:$G$1,0))</f>
        <v>0.2</v>
      </c>
      <c r="L601">
        <f>INDEX(products!$A$1:$G$49,MATCH(orders!$D601,products!$A$1:$A$49,0),MATCH(orders!L$1,products!$A$1:$G$1,0))</f>
        <v>2.9849999999999999</v>
      </c>
    </row>
    <row r="602" spans="1:12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>
        <f>IF(_xlfn.XLOOKUP(orders!C602,customers!$A:$A,customers!$C:$C,,0)=0,"",_xlfn.XLOOKUP(orders!C602,customers!$A:$A,customers!$C:$C,,0))</f>
        <v>plauritzengo@photobucket.com</v>
      </c>
      <c r="H602" s="2" t="str">
        <f>_xlfn.XLOOKUP(C602,customers!$A:$A,customers!$G:$G,,0)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>
        <f>INDEX(products!$A$1:$G$49,MATCH(orders!$D602,products!$A$1:$A$49,0),MATCH(orders!K$1,products!$A$1:$G$1,0))</f>
        <v>0.5</v>
      </c>
      <c r="L602">
        <f>INDEX(products!$A$1:$G$49,MATCH(orders!$D602,products!$A$1:$A$49,0),MATCH(orders!L$1,products!$A$1:$G$1,0))</f>
        <v>7.77</v>
      </c>
    </row>
    <row r="603" spans="1:12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>
        <f>IF(_xlfn.XLOOKUP(orders!C603,customers!$A:$A,customers!$C:$C,,0)=0,"",_xlfn.XLOOKUP(orders!C603,customers!$A:$A,customers!$C:$C,,0))</f>
        <v>aburgwingp@redcross.org</v>
      </c>
      <c r="H603" s="2" t="str">
        <f>_xlfn.XLOOKUP(C603,customers!$A:$A,customers!$G:$G,,0)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>
        <f>INDEX(products!$A$1:$G$49,MATCH(orders!$D603,products!$A$1:$A$49,0),MATCH(orders!K$1,products!$A$1:$G$1,0))</f>
        <v>2.5</v>
      </c>
      <c r="L603">
        <f>INDEX(products!$A$1:$G$49,MATCH(orders!$D603,products!$A$1:$A$49,0),MATCH(orders!L$1,products!$A$1:$G$1,0))</f>
        <v>27.484999999999996</v>
      </c>
    </row>
    <row r="604" spans="1:12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>
        <f>IF(_xlfn.XLOOKUP(orders!C604,customers!$A:$A,customers!$C:$C,,0)=0,"",_xlfn.XLOOKUP(orders!C604,customers!$A:$A,customers!$C:$C,,0))</f>
        <v>erolingq@google.fr</v>
      </c>
      <c r="H604" s="2" t="str">
        <f>_xlfn.XLOOKUP(C604,customers!$A:$A,customers!$G:$G,,0)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>
        <f>INDEX(products!$A$1:$G$49,MATCH(orders!$D604,products!$A$1:$A$49,0),MATCH(orders!K$1,products!$A$1:$G$1,0))</f>
        <v>0.2</v>
      </c>
      <c r="L604">
        <f>INDEX(products!$A$1:$G$49,MATCH(orders!$D604,products!$A$1:$A$49,0),MATCH(orders!L$1,products!$A$1:$G$1,0))</f>
        <v>4.4550000000000001</v>
      </c>
    </row>
    <row r="605" spans="1:12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>
        <f>IF(_xlfn.XLOOKUP(orders!C605,customers!$A:$A,customers!$C:$C,,0)=0,"",_xlfn.XLOOKUP(orders!C605,customers!$A:$A,customers!$C:$C,,0))</f>
        <v>dfowlegr@epa.gov</v>
      </c>
      <c r="H605" s="2" t="str">
        <f>_xlfn.XLOOKUP(C605,customers!$A:$A,customers!$G:$G,,0)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>
        <f>INDEX(products!$A$1:$G$49,MATCH(orders!$D605,products!$A$1:$A$49,0),MATCH(orders!K$1,products!$A$1:$G$1,0))</f>
        <v>0.2</v>
      </c>
      <c r="L605">
        <f>INDEX(products!$A$1:$G$49,MATCH(orders!$D605,products!$A$1:$A$49,0),MATCH(orders!L$1,products!$A$1:$G$1,0))</f>
        <v>2.9849999999999999</v>
      </c>
    </row>
    <row r="606" spans="1:12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 t="str">
        <f>IF(_xlfn.XLOOKUP(orders!C606,customers!$A:$A,customers!$C:$C,,0)=0,"",_xlfn.XLOOKUP(orders!C606,customers!$A:$A,customers!$C:$C,,0))</f>
        <v/>
      </c>
      <c r="H606" s="2" t="str">
        <f>_xlfn.XLOOKUP(C606,customers!$A:$A,customers!$G:$G,,0)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>
        <f>INDEX(products!$A$1:$G$49,MATCH(orders!$D606,products!$A$1:$A$49,0),MATCH(orders!K$1,products!$A$1:$G$1,0))</f>
        <v>2.5</v>
      </c>
      <c r="L606">
        <f>INDEX(products!$A$1:$G$49,MATCH(orders!$D606,products!$A$1:$A$49,0),MATCH(orders!L$1,products!$A$1:$G$1,0))</f>
        <v>29.784999999999997</v>
      </c>
    </row>
    <row r="607" spans="1:12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>
        <f>IF(_xlfn.XLOOKUP(orders!C607,customers!$A:$A,customers!$C:$C,,0)=0,"",_xlfn.XLOOKUP(orders!C607,customers!$A:$A,customers!$C:$C,,0))</f>
        <v>wpowleslandgt@soundcloud.com</v>
      </c>
      <c r="H607" s="2" t="str">
        <f>_xlfn.XLOOKUP(C607,customers!$A:$A,customers!$G:$G,,0)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>
        <f>INDEX(products!$A$1:$G$49,MATCH(orders!$D607,products!$A$1:$A$49,0),MATCH(orders!K$1,products!$A$1:$G$1,0))</f>
        <v>2.5</v>
      </c>
      <c r="L607">
        <f>INDEX(products!$A$1:$G$49,MATCH(orders!$D607,products!$A$1:$A$49,0),MATCH(orders!L$1,products!$A$1:$G$1,0))</f>
        <v>29.784999999999997</v>
      </c>
    </row>
    <row r="608" spans="1:12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>
        <f>IF(_xlfn.XLOOKUP(orders!C608,customers!$A:$A,customers!$C:$C,,0)=0,"",_xlfn.XLOOKUP(orders!C608,customers!$A:$A,customers!$C:$C,,0))</f>
        <v>cverissimogh@theglobeandmail.com</v>
      </c>
      <c r="H608" s="2" t="str">
        <f>_xlfn.XLOOKUP(C608,customers!$A:$A,customers!$G:$G,,0)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>
        <f>INDEX(products!$A$1:$G$49,MATCH(orders!$D608,products!$A$1:$A$49,0),MATCH(orders!K$1,products!$A$1:$G$1,0))</f>
        <v>2.5</v>
      </c>
      <c r="L608">
        <f>INDEX(products!$A$1:$G$49,MATCH(orders!$D608,products!$A$1:$A$49,0),MATCH(orders!L$1,products!$A$1:$G$1,0))</f>
        <v>36.454999999999998</v>
      </c>
    </row>
    <row r="609" spans="1:12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>
        <f>IF(_xlfn.XLOOKUP(orders!C609,customers!$A:$A,customers!$C:$C,,0)=0,"",_xlfn.XLOOKUP(orders!C609,customers!$A:$A,customers!$C:$C,,0))</f>
        <v>lellinghamgv@sciencedaily.com</v>
      </c>
      <c r="H609" s="2" t="str">
        <f>_xlfn.XLOOKUP(C609,customers!$A:$A,customers!$G:$G,,0)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>
        <f>INDEX(products!$A$1:$G$49,MATCH(orders!$D609,products!$A$1:$A$49,0),MATCH(orders!K$1,products!$A$1:$G$1,0))</f>
        <v>0.2</v>
      </c>
      <c r="L609">
        <f>INDEX(products!$A$1:$G$49,MATCH(orders!$D609,products!$A$1:$A$49,0),MATCH(orders!L$1,products!$A$1:$G$1,0))</f>
        <v>3.645</v>
      </c>
    </row>
    <row r="610" spans="1:12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 t="str">
        <f>IF(_xlfn.XLOOKUP(orders!C610,customers!$A:$A,customers!$C:$C,,0)=0,"",_xlfn.XLOOKUP(orders!C610,customers!$A:$A,customers!$C:$C,,0))</f>
        <v/>
      </c>
      <c r="H610" s="2" t="str">
        <f>_xlfn.XLOOKUP(C610,customers!$A:$A,customers!$G:$G,,0)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>
        <f>INDEX(products!$A$1:$G$49,MATCH(orders!$D610,products!$A$1:$A$49,0),MATCH(orders!K$1,products!$A$1:$G$1,0))</f>
        <v>2.5</v>
      </c>
      <c r="L610">
        <f>INDEX(products!$A$1:$G$49,MATCH(orders!$D610,products!$A$1:$A$49,0),MATCH(orders!L$1,products!$A$1:$G$1,0))</f>
        <v>27.945</v>
      </c>
    </row>
    <row r="611" spans="1:12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>
        <f>IF(_xlfn.XLOOKUP(orders!C611,customers!$A:$A,customers!$C:$C,,0)=0,"",_xlfn.XLOOKUP(orders!C611,customers!$A:$A,customers!$C:$C,,0))</f>
        <v>afendtgx@forbes.com</v>
      </c>
      <c r="H611" s="2" t="str">
        <f>_xlfn.XLOOKUP(C611,customers!$A:$A,customers!$G:$G,,0)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>
        <f>INDEX(products!$A$1:$G$49,MATCH(orders!$D611,products!$A$1:$A$49,0),MATCH(orders!K$1,products!$A$1:$G$1,0))</f>
        <v>0.2</v>
      </c>
      <c r="L611">
        <f>INDEX(products!$A$1:$G$49,MATCH(orders!$D611,products!$A$1:$A$49,0),MATCH(orders!L$1,products!$A$1:$G$1,0))</f>
        <v>4.3650000000000002</v>
      </c>
    </row>
    <row r="612" spans="1:12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>
        <f>IF(_xlfn.XLOOKUP(orders!C612,customers!$A:$A,customers!$C:$C,,0)=0,"",_xlfn.XLOOKUP(orders!C612,customers!$A:$A,customers!$C:$C,,0))</f>
        <v>acleyburngy@lycos.com</v>
      </c>
      <c r="H612" s="2" t="str">
        <f>_xlfn.XLOOKUP(C612,customers!$A:$A,customers!$G:$G,,0)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>
        <f>INDEX(products!$A$1:$G$49,MATCH(orders!$D612,products!$A$1:$A$49,0),MATCH(orders!K$1,products!$A$1:$G$1,0))</f>
        <v>1</v>
      </c>
      <c r="L612">
        <f>INDEX(products!$A$1:$G$49,MATCH(orders!$D612,products!$A$1:$A$49,0),MATCH(orders!L$1,products!$A$1:$G$1,0))</f>
        <v>9.9499999999999993</v>
      </c>
    </row>
    <row r="613" spans="1:12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>
        <f>IF(_xlfn.XLOOKUP(orders!C613,customers!$A:$A,customers!$C:$C,,0)=0,"",_xlfn.XLOOKUP(orders!C613,customers!$A:$A,customers!$C:$C,,0))</f>
        <v>tcastiglionegz@xing.com</v>
      </c>
      <c r="H613" s="2" t="str">
        <f>_xlfn.XLOOKUP(C613,customers!$A:$A,customers!$G:$G,,0)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>
        <f>INDEX(products!$A$1:$G$49,MATCH(orders!$D613,products!$A$1:$A$49,0),MATCH(orders!K$1,products!$A$1:$G$1,0))</f>
        <v>2.5</v>
      </c>
      <c r="L613">
        <f>INDEX(products!$A$1:$G$49,MATCH(orders!$D613,products!$A$1:$A$49,0),MATCH(orders!L$1,products!$A$1:$G$1,0))</f>
        <v>34.154999999999994</v>
      </c>
    </row>
    <row r="614" spans="1:12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 t="str">
        <f>IF(_xlfn.XLOOKUP(orders!C614,customers!$A:$A,customers!$C:$C,,0)=0,"",_xlfn.XLOOKUP(orders!C614,customers!$A:$A,customers!$C:$C,,0))</f>
        <v/>
      </c>
      <c r="H614" s="2" t="str">
        <f>_xlfn.XLOOKUP(C614,customers!$A:$A,customers!$G:$G,,0)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>
        <f>INDEX(products!$A$1:$G$49,MATCH(orders!$D614,products!$A$1:$A$49,0),MATCH(orders!K$1,products!$A$1:$G$1,0))</f>
        <v>0.2</v>
      </c>
      <c r="L614">
        <f>INDEX(products!$A$1:$G$49,MATCH(orders!$D614,products!$A$1:$A$49,0),MATCH(orders!L$1,products!$A$1:$G$1,0))</f>
        <v>3.375</v>
      </c>
    </row>
    <row r="615" spans="1:12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 t="str">
        <f>IF(_xlfn.XLOOKUP(orders!C615,customers!$A:$A,customers!$C:$C,,0)=0,"",_xlfn.XLOOKUP(orders!C615,customers!$A:$A,customers!$C:$C,,0))</f>
        <v/>
      </c>
      <c r="H615" s="2" t="str">
        <f>_xlfn.XLOOKUP(C615,customers!$A:$A,customers!$G:$G,,0)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>
        <f>INDEX(products!$A$1:$G$49,MATCH(orders!$D615,products!$A$1:$A$49,0),MATCH(orders!K$1,products!$A$1:$G$1,0))</f>
        <v>0.5</v>
      </c>
      <c r="L615">
        <f>INDEX(products!$A$1:$G$49,MATCH(orders!$D615,products!$A$1:$A$49,0),MATCH(orders!L$1,products!$A$1:$G$1,0))</f>
        <v>5.97</v>
      </c>
    </row>
    <row r="616" spans="1:12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>
        <f>IF(_xlfn.XLOOKUP(orders!C616,customers!$A:$A,customers!$C:$C,,0)=0,"",_xlfn.XLOOKUP(orders!C616,customers!$A:$A,customers!$C:$C,,0))</f>
        <v>cverissimogh@theglobeandmail.com</v>
      </c>
      <c r="H616" s="2" t="str">
        <f>_xlfn.XLOOKUP(C616,customers!$A:$A,customers!$G:$G,,0)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>
        <f>INDEX(products!$A$1:$G$49,MATCH(orders!$D616,products!$A$1:$A$49,0),MATCH(orders!K$1,products!$A$1:$G$1,0))</f>
        <v>0.5</v>
      </c>
      <c r="L616">
        <f>INDEX(products!$A$1:$G$49,MATCH(orders!$D616,products!$A$1:$A$49,0),MATCH(orders!L$1,products!$A$1:$G$1,0))</f>
        <v>5.97</v>
      </c>
    </row>
    <row r="617" spans="1:12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>
        <f>IF(_xlfn.XLOOKUP(orders!C617,customers!$A:$A,customers!$C:$C,,0)=0,"",_xlfn.XLOOKUP(orders!C617,customers!$A:$A,customers!$C:$C,,0))</f>
        <v>scouronneh3@mozilla.org</v>
      </c>
      <c r="H617" s="2" t="str">
        <f>_xlfn.XLOOKUP(C617,customers!$A:$A,customers!$G:$G,,0)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>
        <f>INDEX(products!$A$1:$G$49,MATCH(orders!$D617,products!$A$1:$A$49,0),MATCH(orders!K$1,products!$A$1:$G$1,0))</f>
        <v>2.5</v>
      </c>
      <c r="L617">
        <f>INDEX(products!$A$1:$G$49,MATCH(orders!$D617,products!$A$1:$A$49,0),MATCH(orders!L$1,products!$A$1:$G$1,0))</f>
        <v>36.454999999999998</v>
      </c>
    </row>
    <row r="618" spans="1:12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>
        <f>IF(_xlfn.XLOOKUP(orders!C618,customers!$A:$A,customers!$C:$C,,0)=0,"",_xlfn.XLOOKUP(orders!C618,customers!$A:$A,customers!$C:$C,,0))</f>
        <v>lflippellih4@github.io</v>
      </c>
      <c r="H618" s="2" t="str">
        <f>_xlfn.XLOOKUP(C618,customers!$A:$A,customers!$G:$G,,0)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>
        <f>INDEX(products!$A$1:$G$49,MATCH(orders!$D618,products!$A$1:$A$49,0),MATCH(orders!K$1,products!$A$1:$G$1,0))</f>
        <v>2.5</v>
      </c>
      <c r="L618">
        <f>INDEX(products!$A$1:$G$49,MATCH(orders!$D618,products!$A$1:$A$49,0),MATCH(orders!L$1,products!$A$1:$G$1,0))</f>
        <v>31.624999999999996</v>
      </c>
    </row>
    <row r="619" spans="1:12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>
        <f>IF(_xlfn.XLOOKUP(orders!C619,customers!$A:$A,customers!$C:$C,,0)=0,"",_xlfn.XLOOKUP(orders!C619,customers!$A:$A,customers!$C:$C,,0))</f>
        <v>relizabethh5@live.com</v>
      </c>
      <c r="H619" s="2" t="str">
        <f>_xlfn.XLOOKUP(C619,customers!$A:$A,customers!$G:$G,,0)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>
        <f>INDEX(products!$A$1:$G$49,MATCH(orders!$D619,products!$A$1:$A$49,0),MATCH(orders!K$1,products!$A$1:$G$1,0))</f>
        <v>2.5</v>
      </c>
      <c r="L619">
        <f>INDEX(products!$A$1:$G$49,MATCH(orders!$D619,products!$A$1:$A$49,0),MATCH(orders!L$1,products!$A$1:$G$1,0))</f>
        <v>33.464999999999996</v>
      </c>
    </row>
    <row r="620" spans="1:12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>
        <f>IF(_xlfn.XLOOKUP(orders!C620,customers!$A:$A,customers!$C:$C,,0)=0,"",_xlfn.XLOOKUP(orders!C620,customers!$A:$A,customers!$C:$C,,0))</f>
        <v>irenhardh6@i2i.jp</v>
      </c>
      <c r="H620" s="2" t="str">
        <f>_xlfn.XLOOKUP(C620,customers!$A:$A,customers!$G:$G,,0)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>
        <f>INDEX(products!$A$1:$G$49,MATCH(orders!$D620,products!$A$1:$A$49,0),MATCH(orders!K$1,products!$A$1:$G$1,0))</f>
        <v>1</v>
      </c>
      <c r="L620">
        <f>INDEX(products!$A$1:$G$49,MATCH(orders!$D620,products!$A$1:$A$49,0),MATCH(orders!L$1,products!$A$1:$G$1,0))</f>
        <v>12.15</v>
      </c>
    </row>
    <row r="621" spans="1:12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>
        <f>IF(_xlfn.XLOOKUP(orders!C621,customers!$A:$A,customers!$C:$C,,0)=0,"",_xlfn.XLOOKUP(orders!C621,customers!$A:$A,customers!$C:$C,,0))</f>
        <v>wrocheh7@xinhuanet.com</v>
      </c>
      <c r="H621" s="2" t="str">
        <f>_xlfn.XLOOKUP(C621,customers!$A:$A,customers!$G:$G,,0)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>
        <f>INDEX(products!$A$1:$G$49,MATCH(orders!$D621,products!$A$1:$A$49,0),MATCH(orders!K$1,products!$A$1:$G$1,0))</f>
        <v>0.5</v>
      </c>
      <c r="L621">
        <f>INDEX(products!$A$1:$G$49,MATCH(orders!$D621,products!$A$1:$A$49,0),MATCH(orders!L$1,products!$A$1:$G$1,0))</f>
        <v>7.77</v>
      </c>
    </row>
    <row r="622" spans="1:12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>
        <f>IF(_xlfn.XLOOKUP(orders!C622,customers!$A:$A,customers!$C:$C,,0)=0,"",_xlfn.XLOOKUP(orders!C622,customers!$A:$A,customers!$C:$C,,0))</f>
        <v>lalawayhh@weather.com</v>
      </c>
      <c r="H622" s="2" t="str">
        <f>_xlfn.XLOOKUP(C622,customers!$A:$A,customers!$G:$G,,0)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>
        <f>INDEX(products!$A$1:$G$49,MATCH(orders!$D622,products!$A$1:$A$49,0),MATCH(orders!K$1,products!$A$1:$G$1,0))</f>
        <v>0.2</v>
      </c>
      <c r="L622">
        <f>INDEX(products!$A$1:$G$49,MATCH(orders!$D622,products!$A$1:$A$49,0),MATCH(orders!L$1,products!$A$1:$G$1,0))</f>
        <v>3.375</v>
      </c>
    </row>
    <row r="623" spans="1:12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>
        <f>IF(_xlfn.XLOOKUP(orders!C623,customers!$A:$A,customers!$C:$C,,0)=0,"",_xlfn.XLOOKUP(orders!C623,customers!$A:$A,customers!$C:$C,,0))</f>
        <v>codgaardh9@nsw.gov.au</v>
      </c>
      <c r="H623" s="2" t="str">
        <f>_xlfn.XLOOKUP(C623,customers!$A:$A,customers!$G:$G,,0)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>
        <f>INDEX(products!$A$1:$G$49,MATCH(orders!$D623,products!$A$1:$A$49,0),MATCH(orders!K$1,products!$A$1:$G$1,0))</f>
        <v>1</v>
      </c>
      <c r="L623">
        <f>INDEX(products!$A$1:$G$49,MATCH(orders!$D623,products!$A$1:$A$49,0),MATCH(orders!L$1,products!$A$1:$G$1,0))</f>
        <v>12.95</v>
      </c>
    </row>
    <row r="624" spans="1:12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>
        <f>IF(_xlfn.XLOOKUP(orders!C624,customers!$A:$A,customers!$C:$C,,0)=0,"",_xlfn.XLOOKUP(orders!C624,customers!$A:$A,customers!$C:$C,,0))</f>
        <v>bbyrdha@4shared.com</v>
      </c>
      <c r="H624" s="2" t="str">
        <f>_xlfn.XLOOKUP(C624,customers!$A:$A,customers!$G:$G,,0)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>
        <f>INDEX(products!$A$1:$G$49,MATCH(orders!$D624,products!$A$1:$A$49,0),MATCH(orders!K$1,products!$A$1:$G$1,0))</f>
        <v>2.5</v>
      </c>
      <c r="L624">
        <f>INDEX(products!$A$1:$G$49,MATCH(orders!$D624,products!$A$1:$A$49,0),MATCH(orders!L$1,products!$A$1:$G$1,0))</f>
        <v>33.464999999999996</v>
      </c>
    </row>
    <row r="625" spans="1:12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 t="str">
        <f>IF(_xlfn.XLOOKUP(orders!C625,customers!$A:$A,customers!$C:$C,,0)=0,"",_xlfn.XLOOKUP(orders!C625,customers!$A:$A,customers!$C:$C,,0))</f>
        <v/>
      </c>
      <c r="H625" s="2" t="str">
        <f>_xlfn.XLOOKUP(C625,customers!$A:$A,customers!$G:$G,,0)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>
        <f>INDEX(products!$A$1:$G$49,MATCH(orders!$D625,products!$A$1:$A$49,0),MATCH(orders!K$1,products!$A$1:$G$1,0))</f>
        <v>1</v>
      </c>
      <c r="L625">
        <f>INDEX(products!$A$1:$G$49,MATCH(orders!$D625,products!$A$1:$A$49,0),MATCH(orders!L$1,products!$A$1:$G$1,0))</f>
        <v>12.15</v>
      </c>
    </row>
    <row r="626" spans="1:12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>
        <f>IF(_xlfn.XLOOKUP(orders!C626,customers!$A:$A,customers!$C:$C,,0)=0,"",_xlfn.XLOOKUP(orders!C626,customers!$A:$A,customers!$C:$C,,0))</f>
        <v>dchardinhc@nhs.uk</v>
      </c>
      <c r="H626" s="2" t="str">
        <f>_xlfn.XLOOKUP(C626,customers!$A:$A,customers!$G:$G,,0)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>
        <f>INDEX(products!$A$1:$G$49,MATCH(orders!$D626,products!$A$1:$A$49,0),MATCH(orders!K$1,products!$A$1:$G$1,0))</f>
        <v>2.5</v>
      </c>
      <c r="L626">
        <f>INDEX(products!$A$1:$G$49,MATCH(orders!$D626,products!$A$1:$A$49,0),MATCH(orders!L$1,products!$A$1:$G$1,0))</f>
        <v>31.624999999999996</v>
      </c>
    </row>
    <row r="627" spans="1:12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>
        <f>IF(_xlfn.XLOOKUP(orders!C627,customers!$A:$A,customers!$C:$C,,0)=0,"",_xlfn.XLOOKUP(orders!C627,customers!$A:$A,customers!$C:$C,,0))</f>
        <v>hradbonehd@newsvine.com</v>
      </c>
      <c r="H627" s="2" t="str">
        <f>_xlfn.XLOOKUP(C627,customers!$A:$A,customers!$G:$G,,0)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>
        <f>INDEX(products!$A$1:$G$49,MATCH(orders!$D627,products!$A$1:$A$49,0),MATCH(orders!K$1,products!$A$1:$G$1,0))</f>
        <v>0.5</v>
      </c>
      <c r="L627">
        <f>INDEX(products!$A$1:$G$49,MATCH(orders!$D627,products!$A$1:$A$49,0),MATCH(orders!L$1,products!$A$1:$G$1,0))</f>
        <v>7.169999999999999</v>
      </c>
    </row>
    <row r="628" spans="1:12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>
        <f>IF(_xlfn.XLOOKUP(orders!C628,customers!$A:$A,customers!$C:$C,,0)=0,"",_xlfn.XLOOKUP(orders!C628,customers!$A:$A,customers!$C:$C,,0))</f>
        <v>wbernthhe@miitbeian.gov.cn</v>
      </c>
      <c r="H628" s="2" t="str">
        <f>_xlfn.XLOOKUP(C628,customers!$A:$A,customers!$G:$G,,0)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>
        <f>INDEX(products!$A$1:$G$49,MATCH(orders!$D628,products!$A$1:$A$49,0),MATCH(orders!K$1,products!$A$1:$G$1,0))</f>
        <v>2.5</v>
      </c>
      <c r="L628">
        <f>INDEX(products!$A$1:$G$49,MATCH(orders!$D628,products!$A$1:$A$49,0),MATCH(orders!L$1,products!$A$1:$G$1,0))</f>
        <v>25.874999999999996</v>
      </c>
    </row>
    <row r="629" spans="1:12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>
        <f>IF(_xlfn.XLOOKUP(orders!C629,customers!$A:$A,customers!$C:$C,,0)=0,"",_xlfn.XLOOKUP(orders!C629,customers!$A:$A,customers!$C:$C,,0))</f>
        <v>bacarsonhf@cnn.com</v>
      </c>
      <c r="H629" s="2" t="str">
        <f>_xlfn.XLOOKUP(C629,customers!$A:$A,customers!$G:$G,,0)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>
        <f>INDEX(products!$A$1:$G$49,MATCH(orders!$D629,products!$A$1:$A$49,0),MATCH(orders!K$1,products!$A$1:$G$1,0))</f>
        <v>2.5</v>
      </c>
      <c r="L629">
        <f>INDEX(products!$A$1:$G$49,MATCH(orders!$D629,products!$A$1:$A$49,0),MATCH(orders!L$1,products!$A$1:$G$1,0))</f>
        <v>31.624999999999996</v>
      </c>
    </row>
    <row r="630" spans="1:12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>
        <f>IF(_xlfn.XLOOKUP(orders!C630,customers!$A:$A,customers!$C:$C,,0)=0,"",_xlfn.XLOOKUP(orders!C630,customers!$A:$A,customers!$C:$C,,0))</f>
        <v>fbrighamhg@blog.com</v>
      </c>
      <c r="H630" s="2" t="str">
        <f>_xlfn.XLOOKUP(C630,customers!$A:$A,customers!$G:$G,,0)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>
        <f>INDEX(products!$A$1:$G$49,MATCH(orders!$D630,products!$A$1:$A$49,0),MATCH(orders!K$1,products!$A$1:$G$1,0))</f>
        <v>0.2</v>
      </c>
      <c r="L630">
        <f>INDEX(products!$A$1:$G$49,MATCH(orders!$D630,products!$A$1:$A$49,0),MATCH(orders!L$1,products!$A$1:$G$1,0))</f>
        <v>4.4550000000000001</v>
      </c>
    </row>
    <row r="631" spans="1:12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>
        <f>IF(_xlfn.XLOOKUP(orders!C631,customers!$A:$A,customers!$C:$C,,0)=0,"",_xlfn.XLOOKUP(orders!C631,customers!$A:$A,customers!$C:$C,,0))</f>
        <v>fbrighamhg@blog.com</v>
      </c>
      <c r="H631" s="2" t="str">
        <f>_xlfn.XLOOKUP(C631,customers!$A:$A,customers!$G:$G,,0)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>
        <f>INDEX(products!$A$1:$G$49,MATCH(orders!$D631,products!$A$1:$A$49,0),MATCH(orders!K$1,products!$A$1:$G$1,0))</f>
        <v>0.5</v>
      </c>
      <c r="L631">
        <f>INDEX(products!$A$1:$G$49,MATCH(orders!$D631,products!$A$1:$A$49,0),MATCH(orders!L$1,products!$A$1:$G$1,0))</f>
        <v>7.77</v>
      </c>
    </row>
    <row r="632" spans="1:12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>
        <f>IF(_xlfn.XLOOKUP(orders!C632,customers!$A:$A,customers!$C:$C,,0)=0,"",_xlfn.XLOOKUP(orders!C632,customers!$A:$A,customers!$C:$C,,0))</f>
        <v>fbrighamhg@blog.com</v>
      </c>
      <c r="H632" s="2" t="str">
        <f>_xlfn.XLOOKUP(C632,customers!$A:$A,customers!$G:$G,,0)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>
        <f>INDEX(products!$A$1:$G$49,MATCH(orders!$D632,products!$A$1:$A$49,0),MATCH(orders!K$1,products!$A$1:$G$1,0))</f>
        <v>0.2</v>
      </c>
      <c r="L632">
        <f>INDEX(products!$A$1:$G$49,MATCH(orders!$D632,products!$A$1:$A$49,0),MATCH(orders!L$1,products!$A$1:$G$1,0))</f>
        <v>2.9849999999999999</v>
      </c>
    </row>
    <row r="633" spans="1:12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>
        <f>IF(_xlfn.XLOOKUP(orders!C633,customers!$A:$A,customers!$C:$C,,0)=0,"",_xlfn.XLOOKUP(orders!C633,customers!$A:$A,customers!$C:$C,,0))</f>
        <v>fbrighamhg@blog.com</v>
      </c>
      <c r="H633" s="2" t="str">
        <f>_xlfn.XLOOKUP(C633,customers!$A:$A,customers!$G:$G,,0)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>
        <f>INDEX(products!$A$1:$G$49,MATCH(orders!$D633,products!$A$1:$A$49,0),MATCH(orders!K$1,products!$A$1:$G$1,0))</f>
        <v>2.5</v>
      </c>
      <c r="L633">
        <f>INDEX(products!$A$1:$G$49,MATCH(orders!$D633,products!$A$1:$A$49,0),MATCH(orders!L$1,products!$A$1:$G$1,0))</f>
        <v>20.584999999999997</v>
      </c>
    </row>
    <row r="634" spans="1:12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>
        <f>IF(_xlfn.XLOOKUP(orders!C634,customers!$A:$A,customers!$C:$C,,0)=0,"",_xlfn.XLOOKUP(orders!C634,customers!$A:$A,customers!$C:$C,,0))</f>
        <v>myoxenhk@google.com</v>
      </c>
      <c r="H634" s="2" t="str">
        <f>_xlfn.XLOOKUP(C634,customers!$A:$A,customers!$G:$G,,0)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>
        <f>INDEX(products!$A$1:$G$49,MATCH(orders!$D634,products!$A$1:$A$49,0),MATCH(orders!K$1,products!$A$1:$G$1,0))</f>
        <v>0.5</v>
      </c>
      <c r="L634">
        <f>INDEX(products!$A$1:$G$49,MATCH(orders!$D634,products!$A$1:$A$49,0),MATCH(orders!L$1,products!$A$1:$G$1,0))</f>
        <v>8.91</v>
      </c>
    </row>
    <row r="635" spans="1:12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>
        <f>IF(_xlfn.XLOOKUP(orders!C635,customers!$A:$A,customers!$C:$C,,0)=0,"",_xlfn.XLOOKUP(orders!C635,customers!$A:$A,customers!$C:$C,,0))</f>
        <v>gmcgavinhl@histats.com</v>
      </c>
      <c r="H635" s="2" t="str">
        <f>_xlfn.XLOOKUP(C635,customers!$A:$A,customers!$G:$G,,0)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>
        <f>INDEX(products!$A$1:$G$49,MATCH(orders!$D635,products!$A$1:$A$49,0),MATCH(orders!K$1,products!$A$1:$G$1,0))</f>
        <v>1</v>
      </c>
      <c r="L635">
        <f>INDEX(products!$A$1:$G$49,MATCH(orders!$D635,products!$A$1:$A$49,0),MATCH(orders!L$1,products!$A$1:$G$1,0))</f>
        <v>11.95</v>
      </c>
    </row>
    <row r="636" spans="1:12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>
        <f>IF(_xlfn.XLOOKUP(orders!C636,customers!$A:$A,customers!$C:$C,,0)=0,"",_xlfn.XLOOKUP(orders!C636,customers!$A:$A,customers!$C:$C,,0))</f>
        <v>luttermarehm@engadget.com</v>
      </c>
      <c r="H636" s="2" t="str">
        <f>_xlfn.XLOOKUP(C636,customers!$A:$A,customers!$G:$G,,0)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>
        <f>INDEX(products!$A$1:$G$49,MATCH(orders!$D636,products!$A$1:$A$49,0),MATCH(orders!K$1,products!$A$1:$G$1,0))</f>
        <v>1</v>
      </c>
      <c r="L636">
        <f>INDEX(products!$A$1:$G$49,MATCH(orders!$D636,products!$A$1:$A$49,0),MATCH(orders!L$1,products!$A$1:$G$1,0))</f>
        <v>14.55</v>
      </c>
    </row>
    <row r="637" spans="1:12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>
        <f>IF(_xlfn.XLOOKUP(orders!C637,customers!$A:$A,customers!$C:$C,,0)=0,"",_xlfn.XLOOKUP(orders!C637,customers!$A:$A,customers!$C:$C,,0))</f>
        <v>edambrogiohn@techcrunch.com</v>
      </c>
      <c r="H637" s="2" t="str">
        <f>_xlfn.XLOOKUP(C637,customers!$A:$A,customers!$G:$G,,0)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>
        <f>INDEX(products!$A$1:$G$49,MATCH(orders!$D637,products!$A$1:$A$49,0),MATCH(orders!K$1,products!$A$1:$G$1,0))</f>
        <v>0.5</v>
      </c>
      <c r="L637">
        <f>INDEX(products!$A$1:$G$49,MATCH(orders!$D637,products!$A$1:$A$49,0),MATCH(orders!L$1,products!$A$1:$G$1,0))</f>
        <v>8.91</v>
      </c>
    </row>
    <row r="638" spans="1:12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>
        <f>IF(_xlfn.XLOOKUP(orders!C638,customers!$A:$A,customers!$C:$C,,0)=0,"",_xlfn.XLOOKUP(orders!C638,customers!$A:$A,customers!$C:$C,,0))</f>
        <v>cwinchcombeho@jiathis.com</v>
      </c>
      <c r="H638" s="2" t="str">
        <f>_xlfn.XLOOKUP(C638,customers!$A:$A,customers!$G:$G,,0)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>
        <f>INDEX(products!$A$1:$G$49,MATCH(orders!$D638,products!$A$1:$A$49,0),MATCH(orders!K$1,products!$A$1:$G$1,0))</f>
        <v>1</v>
      </c>
      <c r="L638">
        <f>INDEX(products!$A$1:$G$49,MATCH(orders!$D638,products!$A$1:$A$49,0),MATCH(orders!L$1,products!$A$1:$G$1,0))</f>
        <v>15.85</v>
      </c>
    </row>
    <row r="639" spans="1:12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>
        <f>IF(_xlfn.XLOOKUP(orders!C639,customers!$A:$A,customers!$C:$C,,0)=0,"",_xlfn.XLOOKUP(orders!C639,customers!$A:$A,customers!$C:$C,,0))</f>
        <v>bpaumierhp@umn.edu</v>
      </c>
      <c r="H639" s="2" t="str">
        <f>_xlfn.XLOOKUP(C639,customers!$A:$A,customers!$G:$G,,0)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>
        <f>INDEX(products!$A$1:$G$49,MATCH(orders!$D639,products!$A$1:$A$49,0),MATCH(orders!K$1,products!$A$1:$G$1,0))</f>
        <v>2.5</v>
      </c>
      <c r="L639">
        <f>INDEX(products!$A$1:$G$49,MATCH(orders!$D639,products!$A$1:$A$49,0),MATCH(orders!L$1,products!$A$1:$G$1,0))</f>
        <v>31.624999999999996</v>
      </c>
    </row>
    <row r="640" spans="1:12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 t="str">
        <f>IF(_xlfn.XLOOKUP(orders!C640,customers!$A:$A,customers!$C:$C,,0)=0,"",_xlfn.XLOOKUP(orders!C640,customers!$A:$A,customers!$C:$C,,0))</f>
        <v/>
      </c>
      <c r="H640" s="2" t="str">
        <f>_xlfn.XLOOKUP(C640,customers!$A:$A,customers!$G:$G,,0)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>
        <f>INDEX(products!$A$1:$G$49,MATCH(orders!$D640,products!$A$1:$A$49,0),MATCH(orders!K$1,products!$A$1:$G$1,0))</f>
        <v>2.5</v>
      </c>
      <c r="L640">
        <f>INDEX(products!$A$1:$G$49,MATCH(orders!$D640,products!$A$1:$A$49,0),MATCH(orders!L$1,products!$A$1:$G$1,0))</f>
        <v>25.874999999999996</v>
      </c>
    </row>
    <row r="641" spans="1:12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>
        <f>IF(_xlfn.XLOOKUP(orders!C641,customers!$A:$A,customers!$C:$C,,0)=0,"",_xlfn.XLOOKUP(orders!C641,customers!$A:$A,customers!$C:$C,,0))</f>
        <v>jcapeyhr@bravesites.com</v>
      </c>
      <c r="H641" s="2" t="str">
        <f>_xlfn.XLOOKUP(C641,customers!$A:$A,customers!$G:$G,,0)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>
        <f>INDEX(products!$A$1:$G$49,MATCH(orders!$D641,products!$A$1:$A$49,0),MATCH(orders!K$1,products!$A$1:$G$1,0))</f>
        <v>0.2</v>
      </c>
      <c r="L641">
        <f>INDEX(products!$A$1:$G$49,MATCH(orders!$D641,products!$A$1:$A$49,0),MATCH(orders!L$1,products!$A$1:$G$1,0))</f>
        <v>3.8849999999999998</v>
      </c>
    </row>
    <row r="642" spans="1:12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>
        <f>IF(_xlfn.XLOOKUP(orders!C642,customers!$A:$A,customers!$C:$C,,0)=0,"",_xlfn.XLOOKUP(orders!C642,customers!$A:$A,customers!$C:$C,,0))</f>
        <v>tmathonneti0@google.co.jp</v>
      </c>
      <c r="H642" s="2" t="str">
        <f>_xlfn.XLOOKUP(C642,customers!$A:$A,customers!$G:$G,,0)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>
        <f>INDEX(products!$A$1:$G$49,MATCH(orders!$D642,products!$A$1:$A$49,0),MATCH(orders!K$1,products!$A$1:$G$1,0))</f>
        <v>2.5</v>
      </c>
      <c r="L642">
        <f>INDEX(products!$A$1:$G$49,MATCH(orders!$D642,products!$A$1:$A$49,0),MATCH(orders!L$1,products!$A$1:$G$1,0))</f>
        <v>27.484999999999996</v>
      </c>
    </row>
    <row r="643" spans="1:12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>
        <f>IF(_xlfn.XLOOKUP(orders!C643,customers!$A:$A,customers!$C:$C,,0)=0,"",_xlfn.XLOOKUP(orders!C643,customers!$A:$A,customers!$C:$C,,0))</f>
        <v>ybasillht@theguardian.com</v>
      </c>
      <c r="H643" s="2" t="str">
        <f>_xlfn.XLOOKUP(C643,customers!$A:$A,customers!$G:$G,,0)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>
        <f>INDEX(products!$A$1:$G$49,MATCH(orders!$D643,products!$A$1:$A$49,0),MATCH(orders!K$1,products!$A$1:$G$1,0))</f>
        <v>1</v>
      </c>
      <c r="L643">
        <f>INDEX(products!$A$1:$G$49,MATCH(orders!$D643,products!$A$1:$A$49,0),MATCH(orders!L$1,products!$A$1:$G$1,0))</f>
        <v>11.95</v>
      </c>
    </row>
    <row r="644" spans="1:12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>
        <f>IF(_xlfn.XLOOKUP(orders!C644,customers!$A:$A,customers!$C:$C,,0)=0,"",_xlfn.XLOOKUP(orders!C644,customers!$A:$A,customers!$C:$C,,0))</f>
        <v>mbaistowhu@i2i.jp</v>
      </c>
      <c r="H644" s="2" t="str">
        <f>_xlfn.XLOOKUP(C644,customers!$A:$A,customers!$G:$G,,0)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>
        <f>INDEX(products!$A$1:$G$49,MATCH(orders!$D644,products!$A$1:$A$49,0),MATCH(orders!K$1,products!$A$1:$G$1,0))</f>
        <v>0.2</v>
      </c>
      <c r="L644">
        <f>INDEX(products!$A$1:$G$49,MATCH(orders!$D644,products!$A$1:$A$49,0),MATCH(orders!L$1,products!$A$1:$G$1,0))</f>
        <v>4.125</v>
      </c>
    </row>
    <row r="645" spans="1:12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>
        <f>IF(_xlfn.XLOOKUP(orders!C645,customers!$A:$A,customers!$C:$C,,0)=0,"",_xlfn.XLOOKUP(orders!C645,customers!$A:$A,customers!$C:$C,,0))</f>
        <v>cpallanthv@typepad.com</v>
      </c>
      <c r="H645" s="2" t="str">
        <f>_xlfn.XLOOKUP(C645,customers!$A:$A,customers!$G:$G,,0)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>
        <f>INDEX(products!$A$1:$G$49,MATCH(orders!$D645,products!$A$1:$A$49,0),MATCH(orders!K$1,products!$A$1:$G$1,0))</f>
        <v>2.5</v>
      </c>
      <c r="L645">
        <f>INDEX(products!$A$1:$G$49,MATCH(orders!$D645,products!$A$1:$A$49,0),MATCH(orders!L$1,products!$A$1:$G$1,0))</f>
        <v>34.154999999999994</v>
      </c>
    </row>
    <row r="646" spans="1:12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 t="str">
        <f>IF(_xlfn.XLOOKUP(orders!C646,customers!$A:$A,customers!$C:$C,,0)=0,"",_xlfn.XLOOKUP(orders!C646,customers!$A:$A,customers!$C:$C,,0))</f>
        <v/>
      </c>
      <c r="H646" s="2" t="str">
        <f>_xlfn.XLOOKUP(C646,customers!$A:$A,customers!$G:$G,,0)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>
        <f>INDEX(products!$A$1:$G$49,MATCH(orders!$D646,products!$A$1:$A$49,0),MATCH(orders!K$1,products!$A$1:$G$1,0))</f>
        <v>2.5</v>
      </c>
      <c r="L646">
        <f>INDEX(products!$A$1:$G$49,MATCH(orders!$D646,products!$A$1:$A$49,0),MATCH(orders!L$1,products!$A$1:$G$1,0))</f>
        <v>20.584999999999997</v>
      </c>
    </row>
    <row r="647" spans="1:12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>
        <f>IF(_xlfn.XLOOKUP(orders!C647,customers!$A:$A,customers!$C:$C,,0)=0,"",_xlfn.XLOOKUP(orders!C647,customers!$A:$A,customers!$C:$C,,0))</f>
        <v>dohx@redcross.org</v>
      </c>
      <c r="H647" s="2" t="str">
        <f>_xlfn.XLOOKUP(C647,customers!$A:$A,customers!$G:$G,,0)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>
        <f>INDEX(products!$A$1:$G$49,MATCH(orders!$D647,products!$A$1:$A$49,0),MATCH(orders!K$1,products!$A$1:$G$1,0))</f>
        <v>2.5</v>
      </c>
      <c r="L647">
        <f>INDEX(products!$A$1:$G$49,MATCH(orders!$D647,products!$A$1:$A$49,0),MATCH(orders!L$1,products!$A$1:$G$1,0))</f>
        <v>22.884999999999998</v>
      </c>
    </row>
    <row r="648" spans="1:12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>
        <f>IF(_xlfn.XLOOKUP(orders!C648,customers!$A:$A,customers!$C:$C,,0)=0,"",_xlfn.XLOOKUP(orders!C648,customers!$A:$A,customers!$C:$C,,0))</f>
        <v>drallinhy@howstuffworks.com</v>
      </c>
      <c r="H648" s="2" t="str">
        <f>_xlfn.XLOOKUP(C648,customers!$A:$A,customers!$G:$G,,0)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>
        <f>INDEX(products!$A$1:$G$49,MATCH(orders!$D648,products!$A$1:$A$49,0),MATCH(orders!K$1,products!$A$1:$G$1,0))</f>
        <v>1</v>
      </c>
      <c r="L648">
        <f>INDEX(products!$A$1:$G$49,MATCH(orders!$D648,products!$A$1:$A$49,0),MATCH(orders!L$1,products!$A$1:$G$1,0))</f>
        <v>9.9499999999999993</v>
      </c>
    </row>
    <row r="649" spans="1:12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>
        <f>IF(_xlfn.XLOOKUP(orders!C649,customers!$A:$A,customers!$C:$C,,0)=0,"",_xlfn.XLOOKUP(orders!C649,customers!$A:$A,customers!$C:$C,,0))</f>
        <v>achillhz@epa.gov</v>
      </c>
      <c r="H649" s="2" t="str">
        <f>_xlfn.XLOOKUP(C649,customers!$A:$A,customers!$G:$G,,0)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>
        <f>INDEX(products!$A$1:$G$49,MATCH(orders!$D649,products!$A$1:$A$49,0),MATCH(orders!K$1,products!$A$1:$G$1,0))</f>
        <v>0.5</v>
      </c>
      <c r="L649">
        <f>INDEX(products!$A$1:$G$49,MATCH(orders!$D649,products!$A$1:$A$49,0),MATCH(orders!L$1,products!$A$1:$G$1,0))</f>
        <v>9.51</v>
      </c>
    </row>
    <row r="650" spans="1:12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>
        <f>IF(_xlfn.XLOOKUP(orders!C650,customers!$A:$A,customers!$C:$C,,0)=0,"",_xlfn.XLOOKUP(orders!C650,customers!$A:$A,customers!$C:$C,,0))</f>
        <v>tmathonneti0@google.co.jp</v>
      </c>
      <c r="H650" s="2" t="str">
        <f>_xlfn.XLOOKUP(C650,customers!$A:$A,customers!$G:$G,,0)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>
        <f>INDEX(products!$A$1:$G$49,MATCH(orders!$D650,products!$A$1:$A$49,0),MATCH(orders!K$1,products!$A$1:$G$1,0))</f>
        <v>0.2</v>
      </c>
      <c r="L650">
        <f>INDEX(products!$A$1:$G$49,MATCH(orders!$D650,products!$A$1:$A$49,0),MATCH(orders!L$1,products!$A$1:$G$1,0))</f>
        <v>2.6849999999999996</v>
      </c>
    </row>
    <row r="651" spans="1:12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>
        <f>IF(_xlfn.XLOOKUP(orders!C651,customers!$A:$A,customers!$C:$C,,0)=0,"",_xlfn.XLOOKUP(orders!C651,customers!$A:$A,customers!$C:$C,,0))</f>
        <v>cdenysi1@is.gd</v>
      </c>
      <c r="H651" s="2" t="str">
        <f>_xlfn.XLOOKUP(C651,customers!$A:$A,customers!$G:$G,,0)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>
        <f>INDEX(products!$A$1:$G$49,MATCH(orders!$D651,products!$A$1:$A$49,0),MATCH(orders!K$1,products!$A$1:$G$1,0))</f>
        <v>1</v>
      </c>
      <c r="L651">
        <f>INDEX(products!$A$1:$G$49,MATCH(orders!$D651,products!$A$1:$A$49,0),MATCH(orders!L$1,products!$A$1:$G$1,0))</f>
        <v>15.85</v>
      </c>
    </row>
    <row r="652" spans="1:12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>
        <f>IF(_xlfn.XLOOKUP(orders!C652,customers!$A:$A,customers!$C:$C,,0)=0,"",_xlfn.XLOOKUP(orders!C652,customers!$A:$A,customers!$C:$C,,0))</f>
        <v>cstebbingsi2@drupal.org</v>
      </c>
      <c r="H652" s="2" t="str">
        <f>_xlfn.XLOOKUP(C652,customers!$A:$A,customers!$G:$G,,0)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>
        <f>INDEX(products!$A$1:$G$49,MATCH(orders!$D652,products!$A$1:$A$49,0),MATCH(orders!K$1,products!$A$1:$G$1,0))</f>
        <v>0.5</v>
      </c>
      <c r="L652">
        <f>INDEX(products!$A$1:$G$49,MATCH(orders!$D652,products!$A$1:$A$49,0),MATCH(orders!L$1,products!$A$1:$G$1,0))</f>
        <v>5.3699999999999992</v>
      </c>
    </row>
    <row r="653" spans="1:12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 t="str">
        <f>IF(_xlfn.XLOOKUP(orders!C653,customers!$A:$A,customers!$C:$C,,0)=0,"",_xlfn.XLOOKUP(orders!C653,customers!$A:$A,customers!$C:$C,,0))</f>
        <v/>
      </c>
      <c r="H653" s="2" t="str">
        <f>_xlfn.XLOOKUP(C653,customers!$A:$A,customers!$G:$G,,0)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>
        <f>INDEX(products!$A$1:$G$49,MATCH(orders!$D653,products!$A$1:$A$49,0),MATCH(orders!K$1,products!$A$1:$G$1,0))</f>
        <v>1</v>
      </c>
      <c r="L653">
        <f>INDEX(products!$A$1:$G$49,MATCH(orders!$D653,products!$A$1:$A$49,0),MATCH(orders!L$1,products!$A$1:$G$1,0))</f>
        <v>11.95</v>
      </c>
    </row>
    <row r="654" spans="1:12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>
        <f>IF(_xlfn.XLOOKUP(orders!C654,customers!$A:$A,customers!$C:$C,,0)=0,"",_xlfn.XLOOKUP(orders!C654,customers!$A:$A,customers!$C:$C,,0))</f>
        <v>rzywickii4@ifeng.com</v>
      </c>
      <c r="H654" s="2" t="str">
        <f>_xlfn.XLOOKUP(C654,customers!$A:$A,customers!$G:$G,,0)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>
        <f>INDEX(products!$A$1:$G$49,MATCH(orders!$D654,products!$A$1:$A$49,0),MATCH(orders!K$1,products!$A$1:$G$1,0))</f>
        <v>1</v>
      </c>
      <c r="L654">
        <f>INDEX(products!$A$1:$G$49,MATCH(orders!$D654,products!$A$1:$A$49,0),MATCH(orders!L$1,products!$A$1:$G$1,0))</f>
        <v>15.85</v>
      </c>
    </row>
    <row r="655" spans="1:12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>
        <f>IF(_xlfn.XLOOKUP(orders!C655,customers!$A:$A,customers!$C:$C,,0)=0,"",_xlfn.XLOOKUP(orders!C655,customers!$A:$A,customers!$C:$C,,0))</f>
        <v>aburgetti5@moonfruit.com</v>
      </c>
      <c r="H655" s="2" t="str">
        <f>_xlfn.XLOOKUP(C655,customers!$A:$A,customers!$G:$G,,0)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>
        <f>INDEX(products!$A$1:$G$49,MATCH(orders!$D655,products!$A$1:$A$49,0),MATCH(orders!K$1,products!$A$1:$G$1,0))</f>
        <v>2.5</v>
      </c>
      <c r="L655">
        <f>INDEX(products!$A$1:$G$49,MATCH(orders!$D655,products!$A$1:$A$49,0),MATCH(orders!L$1,products!$A$1:$G$1,0))</f>
        <v>25.874999999999996</v>
      </c>
    </row>
    <row r="656" spans="1:12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>
        <f>IF(_xlfn.XLOOKUP(orders!C656,customers!$A:$A,customers!$C:$C,,0)=0,"",_xlfn.XLOOKUP(orders!C656,customers!$A:$A,customers!$C:$C,,0))</f>
        <v>mmalloyi6@seattletimes.com</v>
      </c>
      <c r="H656" s="2" t="str">
        <f>_xlfn.XLOOKUP(C656,customers!$A:$A,customers!$G:$G,,0)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>
        <f>INDEX(products!$A$1:$G$49,MATCH(orders!$D656,products!$A$1:$A$49,0),MATCH(orders!K$1,products!$A$1:$G$1,0))</f>
        <v>2.5</v>
      </c>
      <c r="L656">
        <f>INDEX(products!$A$1:$G$49,MATCH(orders!$D656,products!$A$1:$A$49,0),MATCH(orders!L$1,products!$A$1:$G$1,0))</f>
        <v>22.884999999999998</v>
      </c>
    </row>
    <row r="657" spans="1:12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>
        <f>IF(_xlfn.XLOOKUP(orders!C657,customers!$A:$A,customers!$C:$C,,0)=0,"",_xlfn.XLOOKUP(orders!C657,customers!$A:$A,customers!$C:$C,,0))</f>
        <v>mmcparlandi7@w3.org</v>
      </c>
      <c r="H657" s="2" t="str">
        <f>_xlfn.XLOOKUP(C657,customers!$A:$A,customers!$G:$G,,0)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>
        <f>INDEX(products!$A$1:$G$49,MATCH(orders!$D657,products!$A$1:$A$49,0),MATCH(orders!K$1,products!$A$1:$G$1,0))</f>
        <v>2.5</v>
      </c>
      <c r="L657">
        <f>INDEX(products!$A$1:$G$49,MATCH(orders!$D657,products!$A$1:$A$49,0),MATCH(orders!L$1,products!$A$1:$G$1,0))</f>
        <v>22.884999999999998</v>
      </c>
    </row>
    <row r="658" spans="1:12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>
        <f>IF(_xlfn.XLOOKUP(orders!C658,customers!$A:$A,customers!$C:$C,,0)=0,"",_xlfn.XLOOKUP(orders!C658,customers!$A:$A,customers!$C:$C,,0))</f>
        <v>sjennaroyi8@purevolume.com</v>
      </c>
      <c r="H658" s="2" t="str">
        <f>_xlfn.XLOOKUP(C658,customers!$A:$A,customers!$G:$G,,0)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>
        <f>INDEX(products!$A$1:$G$49,MATCH(orders!$D658,products!$A$1:$A$49,0),MATCH(orders!K$1,products!$A$1:$G$1,0))</f>
        <v>1</v>
      </c>
      <c r="L658">
        <f>INDEX(products!$A$1:$G$49,MATCH(orders!$D658,products!$A$1:$A$49,0),MATCH(orders!L$1,products!$A$1:$G$1,0))</f>
        <v>12.95</v>
      </c>
    </row>
    <row r="659" spans="1:12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>
        <f>IF(_xlfn.XLOOKUP(orders!C659,customers!$A:$A,customers!$C:$C,,0)=0,"",_xlfn.XLOOKUP(orders!C659,customers!$A:$A,customers!$C:$C,,0))</f>
        <v>wplacei9@wsj.com</v>
      </c>
      <c r="H659" s="2" t="str">
        <f>_xlfn.XLOOKUP(C659,customers!$A:$A,customers!$G:$G,,0)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>
        <f>INDEX(products!$A$1:$G$49,MATCH(orders!$D659,products!$A$1:$A$49,0),MATCH(orders!K$1,products!$A$1:$G$1,0))</f>
        <v>0.5</v>
      </c>
      <c r="L659">
        <f>INDEX(products!$A$1:$G$49,MATCH(orders!$D659,products!$A$1:$A$49,0),MATCH(orders!L$1,products!$A$1:$G$1,0))</f>
        <v>6.75</v>
      </c>
    </row>
    <row r="660" spans="1:12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>
        <f>IF(_xlfn.XLOOKUP(orders!C660,customers!$A:$A,customers!$C:$C,,0)=0,"",_xlfn.XLOOKUP(orders!C660,customers!$A:$A,customers!$C:$C,,0))</f>
        <v>jmillettik@addtoany.com</v>
      </c>
      <c r="H660" s="2" t="str">
        <f>_xlfn.XLOOKUP(C660,customers!$A:$A,customers!$G:$G,,0)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>
        <f>INDEX(products!$A$1:$G$49,MATCH(orders!$D660,products!$A$1:$A$49,0),MATCH(orders!K$1,products!$A$1:$G$1,0))</f>
        <v>0.5</v>
      </c>
      <c r="L660">
        <f>INDEX(products!$A$1:$G$49,MATCH(orders!$D660,products!$A$1:$A$49,0),MATCH(orders!L$1,products!$A$1:$G$1,0))</f>
        <v>8.25</v>
      </c>
    </row>
    <row r="661" spans="1:12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>
        <f>IF(_xlfn.XLOOKUP(orders!C661,customers!$A:$A,customers!$C:$C,,0)=0,"",_xlfn.XLOOKUP(orders!C661,customers!$A:$A,customers!$C:$C,,0))</f>
        <v>dgadsdenib@google.com.hk</v>
      </c>
      <c r="H661" s="2" t="str">
        <f>_xlfn.XLOOKUP(C661,customers!$A:$A,customers!$G:$G,,0)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>
        <f>INDEX(products!$A$1:$G$49,MATCH(orders!$D661,products!$A$1:$A$49,0),MATCH(orders!K$1,products!$A$1:$G$1,0))</f>
        <v>2.5</v>
      </c>
      <c r="L661">
        <f>INDEX(products!$A$1:$G$49,MATCH(orders!$D661,products!$A$1:$A$49,0),MATCH(orders!L$1,products!$A$1:$G$1,0))</f>
        <v>22.884999999999998</v>
      </c>
    </row>
    <row r="662" spans="1:12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>
        <f>IF(_xlfn.XLOOKUP(orders!C662,customers!$A:$A,customers!$C:$C,,0)=0,"",_xlfn.XLOOKUP(orders!C662,customers!$A:$A,customers!$C:$C,,0))</f>
        <v>vwakelinic@unesco.org</v>
      </c>
      <c r="H662" s="2" t="str">
        <f>_xlfn.XLOOKUP(C662,customers!$A:$A,customers!$G:$G,,0)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>
        <f>INDEX(products!$A$1:$G$49,MATCH(orders!$D662,products!$A$1:$A$49,0),MATCH(orders!K$1,products!$A$1:$G$1,0))</f>
        <v>0.5</v>
      </c>
      <c r="L662">
        <f>INDEX(products!$A$1:$G$49,MATCH(orders!$D662,products!$A$1:$A$49,0),MATCH(orders!L$1,products!$A$1:$G$1,0))</f>
        <v>8.91</v>
      </c>
    </row>
    <row r="663" spans="1:12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>
        <f>IF(_xlfn.XLOOKUP(orders!C663,customers!$A:$A,customers!$C:$C,,0)=0,"",_xlfn.XLOOKUP(orders!C663,customers!$A:$A,customers!$C:$C,,0))</f>
        <v>acampsallid@zimbio.com</v>
      </c>
      <c r="H663" s="2" t="str">
        <f>_xlfn.XLOOKUP(C663,customers!$A:$A,customers!$G:$G,,0)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>
        <f>INDEX(products!$A$1:$G$49,MATCH(orders!$D663,products!$A$1:$A$49,0),MATCH(orders!K$1,products!$A$1:$G$1,0))</f>
        <v>0.2</v>
      </c>
      <c r="L663">
        <f>INDEX(products!$A$1:$G$49,MATCH(orders!$D663,products!$A$1:$A$49,0),MATCH(orders!L$1,products!$A$1:$G$1,0))</f>
        <v>3.375</v>
      </c>
    </row>
    <row r="664" spans="1:12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>
        <f>IF(_xlfn.XLOOKUP(orders!C664,customers!$A:$A,customers!$C:$C,,0)=0,"",_xlfn.XLOOKUP(orders!C664,customers!$A:$A,customers!$C:$C,,0))</f>
        <v>smosebyie@stanford.edu</v>
      </c>
      <c r="H664" s="2" t="str">
        <f>_xlfn.XLOOKUP(C664,customers!$A:$A,customers!$G:$G,,0)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>
        <f>INDEX(products!$A$1:$G$49,MATCH(orders!$D664,products!$A$1:$A$49,0),MATCH(orders!K$1,products!$A$1:$G$1,0))</f>
        <v>2.5</v>
      </c>
      <c r="L664">
        <f>INDEX(products!$A$1:$G$49,MATCH(orders!$D664,products!$A$1:$A$49,0),MATCH(orders!L$1,products!$A$1:$G$1,0))</f>
        <v>29.784999999999997</v>
      </c>
    </row>
    <row r="665" spans="1:12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>
        <f>IF(_xlfn.XLOOKUP(orders!C665,customers!$A:$A,customers!$C:$C,,0)=0,"",_xlfn.XLOOKUP(orders!C665,customers!$A:$A,customers!$C:$C,,0))</f>
        <v>cwassif@prweb.com</v>
      </c>
      <c r="H665" s="2" t="str">
        <f>_xlfn.XLOOKUP(C665,customers!$A:$A,customers!$G:$G,,0)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>
        <f>INDEX(products!$A$1:$G$49,MATCH(orders!$D665,products!$A$1:$A$49,0),MATCH(orders!K$1,products!$A$1:$G$1,0))</f>
        <v>1</v>
      </c>
      <c r="L665">
        <f>INDEX(products!$A$1:$G$49,MATCH(orders!$D665,products!$A$1:$A$49,0),MATCH(orders!L$1,products!$A$1:$G$1,0))</f>
        <v>11.25</v>
      </c>
    </row>
    <row r="666" spans="1:12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>
        <f>IF(_xlfn.XLOOKUP(orders!C666,customers!$A:$A,customers!$C:$C,,0)=0,"",_xlfn.XLOOKUP(orders!C666,customers!$A:$A,customers!$C:$C,,0))</f>
        <v>isjostromig@pbs.org</v>
      </c>
      <c r="H666" s="2" t="str">
        <f>_xlfn.XLOOKUP(C666,customers!$A:$A,customers!$G:$G,,0)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>
        <f>INDEX(products!$A$1:$G$49,MATCH(orders!$D666,products!$A$1:$A$49,0),MATCH(orders!K$1,products!$A$1:$G$1,0))</f>
        <v>1</v>
      </c>
      <c r="L666">
        <f>INDEX(products!$A$1:$G$49,MATCH(orders!$D666,products!$A$1:$A$49,0),MATCH(orders!L$1,products!$A$1:$G$1,0))</f>
        <v>12.15</v>
      </c>
    </row>
    <row r="667" spans="1:12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>
        <f>IF(_xlfn.XLOOKUP(orders!C667,customers!$A:$A,customers!$C:$C,,0)=0,"",_xlfn.XLOOKUP(orders!C667,customers!$A:$A,customers!$C:$C,,0))</f>
        <v>isjostromig@pbs.org</v>
      </c>
      <c r="H667" s="2" t="str">
        <f>_xlfn.XLOOKUP(C667,customers!$A:$A,customers!$G:$G,,0)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>
        <f>INDEX(products!$A$1:$G$49,MATCH(orders!$D667,products!$A$1:$A$49,0),MATCH(orders!K$1,products!$A$1:$G$1,0))</f>
        <v>0.2</v>
      </c>
      <c r="L667">
        <f>INDEX(products!$A$1:$G$49,MATCH(orders!$D667,products!$A$1:$A$49,0),MATCH(orders!L$1,products!$A$1:$G$1,0))</f>
        <v>3.8849999999999998</v>
      </c>
    </row>
    <row r="668" spans="1:12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>
        <f>IF(_xlfn.XLOOKUP(orders!C668,customers!$A:$A,customers!$C:$C,,0)=0,"",_xlfn.XLOOKUP(orders!C668,customers!$A:$A,customers!$C:$C,,0))</f>
        <v>jbranchettii@bravesites.com</v>
      </c>
      <c r="H668" s="2" t="str">
        <f>_xlfn.XLOOKUP(C668,customers!$A:$A,customers!$G:$G,,0)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>
        <f>INDEX(products!$A$1:$G$49,MATCH(orders!$D668,products!$A$1:$A$49,0),MATCH(orders!K$1,products!$A$1:$G$1,0))</f>
        <v>2.5</v>
      </c>
      <c r="L668">
        <f>INDEX(products!$A$1:$G$49,MATCH(orders!$D668,products!$A$1:$A$49,0),MATCH(orders!L$1,products!$A$1:$G$1,0))</f>
        <v>22.884999999999998</v>
      </c>
    </row>
    <row r="669" spans="1:12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>
        <f>IF(_xlfn.XLOOKUP(orders!C669,customers!$A:$A,customers!$C:$C,,0)=0,"",_xlfn.XLOOKUP(orders!C669,customers!$A:$A,customers!$C:$C,,0))</f>
        <v>nrudlandij@blogs.com</v>
      </c>
      <c r="H669" s="2" t="str">
        <f>_xlfn.XLOOKUP(C669,customers!$A:$A,customers!$G:$G,,0)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>
        <f>INDEX(products!$A$1:$G$49,MATCH(orders!$D669,products!$A$1:$A$49,0),MATCH(orders!K$1,products!$A$1:$G$1,0))</f>
        <v>1</v>
      </c>
      <c r="L669">
        <f>INDEX(products!$A$1:$G$49,MATCH(orders!$D669,products!$A$1:$A$49,0),MATCH(orders!L$1,products!$A$1:$G$1,0))</f>
        <v>9.9499999999999993</v>
      </c>
    </row>
    <row r="670" spans="1:12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>
        <f>IF(_xlfn.XLOOKUP(orders!C670,customers!$A:$A,customers!$C:$C,,0)=0,"",_xlfn.XLOOKUP(orders!C670,customers!$A:$A,customers!$C:$C,,0))</f>
        <v>jmillettik@addtoany.com</v>
      </c>
      <c r="H670" s="2" t="str">
        <f>_xlfn.XLOOKUP(C670,customers!$A:$A,customers!$G:$G,,0)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>
        <f>INDEX(products!$A$1:$G$49,MATCH(orders!$D670,products!$A$1:$A$49,0),MATCH(orders!K$1,products!$A$1:$G$1,0))</f>
        <v>2.5</v>
      </c>
      <c r="L670">
        <f>INDEX(products!$A$1:$G$49,MATCH(orders!$D670,products!$A$1:$A$49,0),MATCH(orders!L$1,products!$A$1:$G$1,0))</f>
        <v>27.484999999999996</v>
      </c>
    </row>
    <row r="671" spans="1:12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>
        <f>IF(_xlfn.XLOOKUP(orders!C671,customers!$A:$A,customers!$C:$C,,0)=0,"",_xlfn.XLOOKUP(orders!C671,customers!$A:$A,customers!$C:$C,,0))</f>
        <v>ftourryil@google.de</v>
      </c>
      <c r="H671" s="2" t="str">
        <f>_xlfn.XLOOKUP(C671,customers!$A:$A,customers!$G:$G,,0)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>
        <f>INDEX(products!$A$1:$G$49,MATCH(orders!$D671,products!$A$1:$A$49,0),MATCH(orders!K$1,products!$A$1:$G$1,0))</f>
        <v>2.5</v>
      </c>
      <c r="L671">
        <f>INDEX(products!$A$1:$G$49,MATCH(orders!$D671,products!$A$1:$A$49,0),MATCH(orders!L$1,products!$A$1:$G$1,0))</f>
        <v>33.464999999999996</v>
      </c>
    </row>
    <row r="672" spans="1:12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>
        <f>IF(_xlfn.XLOOKUP(orders!C672,customers!$A:$A,customers!$C:$C,,0)=0,"",_xlfn.XLOOKUP(orders!C672,customers!$A:$A,customers!$C:$C,,0))</f>
        <v>cweatherallim@toplist.cz</v>
      </c>
      <c r="H672" s="2" t="str">
        <f>_xlfn.XLOOKUP(C672,customers!$A:$A,customers!$G:$G,,0)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>
        <f>INDEX(products!$A$1:$G$49,MATCH(orders!$D672,products!$A$1:$A$49,0),MATCH(orders!K$1,products!$A$1:$G$1,0))</f>
        <v>0.2</v>
      </c>
      <c r="L672">
        <f>INDEX(products!$A$1:$G$49,MATCH(orders!$D672,products!$A$1:$A$49,0),MATCH(orders!L$1,products!$A$1:$G$1,0))</f>
        <v>4.3650000000000002</v>
      </c>
    </row>
    <row r="673" spans="1:12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>
        <f>IF(_xlfn.XLOOKUP(orders!C673,customers!$A:$A,customers!$C:$C,,0)=0,"",_xlfn.XLOOKUP(orders!C673,customers!$A:$A,customers!$C:$C,,0))</f>
        <v>gheindrickin@usda.gov</v>
      </c>
      <c r="H673" s="2" t="str">
        <f>_xlfn.XLOOKUP(C673,customers!$A:$A,customers!$G:$G,,0)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>
        <f>INDEX(products!$A$1:$G$49,MATCH(orders!$D673,products!$A$1:$A$49,0),MATCH(orders!K$1,products!$A$1:$G$1,0))</f>
        <v>1</v>
      </c>
      <c r="L673">
        <f>INDEX(products!$A$1:$G$49,MATCH(orders!$D673,products!$A$1:$A$49,0),MATCH(orders!L$1,products!$A$1:$G$1,0))</f>
        <v>11.95</v>
      </c>
    </row>
    <row r="674" spans="1:12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>
        <f>IF(_xlfn.XLOOKUP(orders!C674,customers!$A:$A,customers!$C:$C,,0)=0,"",_xlfn.XLOOKUP(orders!C674,customers!$A:$A,customers!$C:$C,,0))</f>
        <v>limasonio@discuz.net</v>
      </c>
      <c r="H674" s="2" t="str">
        <f>_xlfn.XLOOKUP(C674,customers!$A:$A,customers!$G:$G,,0)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>
        <f>INDEX(products!$A$1:$G$49,MATCH(orders!$D674,products!$A$1:$A$49,0),MATCH(orders!K$1,products!$A$1:$G$1,0))</f>
        <v>0.5</v>
      </c>
      <c r="L674">
        <f>INDEX(products!$A$1:$G$49,MATCH(orders!$D674,products!$A$1:$A$49,0),MATCH(orders!L$1,products!$A$1:$G$1,0))</f>
        <v>8.73</v>
      </c>
    </row>
    <row r="675" spans="1:12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>
        <f>IF(_xlfn.XLOOKUP(orders!C675,customers!$A:$A,customers!$C:$C,,0)=0,"",_xlfn.XLOOKUP(orders!C675,customers!$A:$A,customers!$C:$C,,0))</f>
        <v>hsaillip@odnoklassniki.ru</v>
      </c>
      <c r="H675" s="2" t="str">
        <f>_xlfn.XLOOKUP(C675,customers!$A:$A,customers!$G:$G,,0)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>
        <f>INDEX(products!$A$1:$G$49,MATCH(orders!$D675,products!$A$1:$A$49,0),MATCH(orders!K$1,products!$A$1:$G$1,0))</f>
        <v>1</v>
      </c>
      <c r="L675">
        <f>INDEX(products!$A$1:$G$49,MATCH(orders!$D675,products!$A$1:$A$49,0),MATCH(orders!L$1,products!$A$1:$G$1,0))</f>
        <v>13.75</v>
      </c>
    </row>
    <row r="676" spans="1:12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>
        <f>IF(_xlfn.XLOOKUP(orders!C676,customers!$A:$A,customers!$C:$C,,0)=0,"",_xlfn.XLOOKUP(orders!C676,customers!$A:$A,customers!$C:$C,,0))</f>
        <v>hlarvoriq@last.fm</v>
      </c>
      <c r="H676" s="2" t="str">
        <f>_xlfn.XLOOKUP(C676,customers!$A:$A,customers!$G:$G,,0)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>
        <f>INDEX(products!$A$1:$G$49,MATCH(orders!$D676,products!$A$1:$A$49,0),MATCH(orders!K$1,products!$A$1:$G$1,0))</f>
        <v>2.5</v>
      </c>
      <c r="L676">
        <f>INDEX(products!$A$1:$G$49,MATCH(orders!$D676,products!$A$1:$A$49,0),MATCH(orders!L$1,products!$A$1:$G$1,0))</f>
        <v>29.784999999999997</v>
      </c>
    </row>
    <row r="677" spans="1:12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 t="str">
        <f>IF(_xlfn.XLOOKUP(orders!C677,customers!$A:$A,customers!$C:$C,,0)=0,"",_xlfn.XLOOKUP(orders!C677,customers!$A:$A,customers!$C:$C,,0))</f>
        <v/>
      </c>
      <c r="H677" s="2" t="str">
        <f>_xlfn.XLOOKUP(C677,customers!$A:$A,customers!$G:$G,,0)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>
        <f>INDEX(products!$A$1:$G$49,MATCH(orders!$D677,products!$A$1:$A$49,0),MATCH(orders!K$1,products!$A$1:$G$1,0))</f>
        <v>2.5</v>
      </c>
      <c r="L677">
        <f>INDEX(products!$A$1:$G$49,MATCH(orders!$D677,products!$A$1:$A$49,0),MATCH(orders!L$1,products!$A$1:$G$1,0))</f>
        <v>29.784999999999997</v>
      </c>
    </row>
    <row r="678" spans="1:12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 t="str">
        <f>IF(_xlfn.XLOOKUP(orders!C678,customers!$A:$A,customers!$C:$C,,0)=0,"",_xlfn.XLOOKUP(orders!C678,customers!$A:$A,customers!$C:$C,,0))</f>
        <v/>
      </c>
      <c r="H678" s="2" t="str">
        <f>_xlfn.XLOOKUP(C678,customers!$A:$A,customers!$G:$G,,0)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>
        <f>INDEX(products!$A$1:$G$49,MATCH(orders!$D678,products!$A$1:$A$49,0),MATCH(orders!K$1,products!$A$1:$G$1,0))</f>
        <v>0.5</v>
      </c>
      <c r="L678">
        <f>INDEX(products!$A$1:$G$49,MATCH(orders!$D678,products!$A$1:$A$49,0),MATCH(orders!L$1,products!$A$1:$G$1,0))</f>
        <v>9.51</v>
      </c>
    </row>
    <row r="679" spans="1:12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>
        <f>IF(_xlfn.XLOOKUP(orders!C679,customers!$A:$A,customers!$C:$C,,0)=0,"",_xlfn.XLOOKUP(orders!C679,customers!$A:$A,customers!$C:$C,,0))</f>
        <v>cpenwardenit@mlb.com</v>
      </c>
      <c r="H679" s="2" t="str">
        <f>_xlfn.XLOOKUP(C679,customers!$A:$A,customers!$G:$G,,0)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>
        <f>INDEX(products!$A$1:$G$49,MATCH(orders!$D679,products!$A$1:$A$49,0),MATCH(orders!K$1,products!$A$1:$G$1,0))</f>
        <v>0.5</v>
      </c>
      <c r="L679">
        <f>INDEX(products!$A$1:$G$49,MATCH(orders!$D679,products!$A$1:$A$49,0),MATCH(orders!L$1,products!$A$1:$G$1,0))</f>
        <v>8.73</v>
      </c>
    </row>
    <row r="680" spans="1:12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>
        <f>IF(_xlfn.XLOOKUP(orders!C680,customers!$A:$A,customers!$C:$C,,0)=0,"",_xlfn.XLOOKUP(orders!C680,customers!$A:$A,customers!$C:$C,,0))</f>
        <v>mmiddisiu@dmoz.org</v>
      </c>
      <c r="H680" s="2" t="str">
        <f>_xlfn.XLOOKUP(C680,customers!$A:$A,customers!$G:$G,,0)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>
        <f>INDEX(products!$A$1:$G$49,MATCH(orders!$D680,products!$A$1:$A$49,0),MATCH(orders!K$1,products!$A$1:$G$1,0))</f>
        <v>2.5</v>
      </c>
      <c r="L680">
        <f>INDEX(products!$A$1:$G$49,MATCH(orders!$D680,products!$A$1:$A$49,0),MATCH(orders!L$1,products!$A$1:$G$1,0))</f>
        <v>29.784999999999997</v>
      </c>
    </row>
    <row r="681" spans="1:12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>
        <f>IF(_xlfn.XLOOKUP(orders!C681,customers!$A:$A,customers!$C:$C,,0)=0,"",_xlfn.XLOOKUP(orders!C681,customers!$A:$A,customers!$C:$C,,0))</f>
        <v>avairowiv@studiopress.com</v>
      </c>
      <c r="H681" s="2" t="str">
        <f>_xlfn.XLOOKUP(C681,customers!$A:$A,customers!$G:$G,,0)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>
        <f>INDEX(products!$A$1:$G$49,MATCH(orders!$D681,products!$A$1:$A$49,0),MATCH(orders!K$1,products!$A$1:$G$1,0))</f>
        <v>2.5</v>
      </c>
      <c r="L681">
        <f>INDEX(products!$A$1:$G$49,MATCH(orders!$D681,products!$A$1:$A$49,0),MATCH(orders!L$1,products!$A$1:$G$1,0))</f>
        <v>27.484999999999996</v>
      </c>
    </row>
    <row r="682" spans="1:12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>
        <f>IF(_xlfn.XLOOKUP(orders!C682,customers!$A:$A,customers!$C:$C,,0)=0,"",_xlfn.XLOOKUP(orders!C682,customers!$A:$A,customers!$C:$C,,0))</f>
        <v>agoldieiw@goo.gl</v>
      </c>
      <c r="H682" s="2" t="str">
        <f>_xlfn.XLOOKUP(C682,customers!$A:$A,customers!$G:$G,,0)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>
        <f>INDEX(products!$A$1:$G$49,MATCH(orders!$D682,products!$A$1:$A$49,0),MATCH(orders!K$1,products!$A$1:$G$1,0))</f>
        <v>1</v>
      </c>
      <c r="L682">
        <f>INDEX(products!$A$1:$G$49,MATCH(orders!$D682,products!$A$1:$A$49,0),MATCH(orders!L$1,products!$A$1:$G$1,0))</f>
        <v>11.25</v>
      </c>
    </row>
    <row r="683" spans="1:12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>
        <f>IF(_xlfn.XLOOKUP(orders!C683,customers!$A:$A,customers!$C:$C,,0)=0,"",_xlfn.XLOOKUP(orders!C683,customers!$A:$A,customers!$C:$C,,0))</f>
        <v>nayrisix@t-online.de</v>
      </c>
      <c r="H683" s="2" t="str">
        <f>_xlfn.XLOOKUP(C683,customers!$A:$A,customers!$G:$G,,0)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>
        <f>INDEX(products!$A$1:$G$49,MATCH(orders!$D683,products!$A$1:$A$49,0),MATCH(orders!K$1,products!$A$1:$G$1,0))</f>
        <v>0.2</v>
      </c>
      <c r="L683">
        <f>INDEX(products!$A$1:$G$49,MATCH(orders!$D683,products!$A$1:$A$49,0),MATCH(orders!L$1,products!$A$1:$G$1,0))</f>
        <v>4.7549999999999999</v>
      </c>
    </row>
    <row r="684" spans="1:12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>
        <f>IF(_xlfn.XLOOKUP(orders!C684,customers!$A:$A,customers!$C:$C,,0)=0,"",_xlfn.XLOOKUP(orders!C684,customers!$A:$A,customers!$C:$C,,0))</f>
        <v>lbenediktovichiy@wunderground.com</v>
      </c>
      <c r="H684" s="2" t="str">
        <f>_xlfn.XLOOKUP(C684,customers!$A:$A,customers!$G:$G,,0)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>
        <f>INDEX(products!$A$1:$G$49,MATCH(orders!$D684,products!$A$1:$A$49,0),MATCH(orders!K$1,products!$A$1:$G$1,0))</f>
        <v>0.2</v>
      </c>
      <c r="L684">
        <f>INDEX(products!$A$1:$G$49,MATCH(orders!$D684,products!$A$1:$A$49,0),MATCH(orders!L$1,products!$A$1:$G$1,0))</f>
        <v>4.125</v>
      </c>
    </row>
    <row r="685" spans="1:12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>
        <f>IF(_xlfn.XLOOKUP(orders!C685,customers!$A:$A,customers!$C:$C,,0)=0,"",_xlfn.XLOOKUP(orders!C685,customers!$A:$A,customers!$C:$C,,0))</f>
        <v>tjacobovitziz@cbc.ca</v>
      </c>
      <c r="H685" s="2" t="str">
        <f>_xlfn.XLOOKUP(C685,customers!$A:$A,customers!$G:$G,,0)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>
        <f>INDEX(products!$A$1:$G$49,MATCH(orders!$D685,products!$A$1:$A$49,0),MATCH(orders!K$1,products!$A$1:$G$1,0))</f>
        <v>0.5</v>
      </c>
      <c r="L685">
        <f>INDEX(products!$A$1:$G$49,MATCH(orders!$D685,products!$A$1:$A$49,0),MATCH(orders!L$1,products!$A$1:$G$1,0))</f>
        <v>7.77</v>
      </c>
    </row>
    <row r="686" spans="1:12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 t="str">
        <f>IF(_xlfn.XLOOKUP(orders!C686,customers!$A:$A,customers!$C:$C,,0)=0,"",_xlfn.XLOOKUP(orders!C686,customers!$A:$A,customers!$C:$C,,0))</f>
        <v/>
      </c>
      <c r="H686" s="2" t="str">
        <f>_xlfn.XLOOKUP(C686,customers!$A:$A,customers!$G:$G,,0)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>
        <f>INDEX(products!$A$1:$G$49,MATCH(orders!$D686,products!$A$1:$A$49,0),MATCH(orders!K$1,products!$A$1:$G$1,0))</f>
        <v>1</v>
      </c>
      <c r="L686">
        <f>INDEX(products!$A$1:$G$49,MATCH(orders!$D686,products!$A$1:$A$49,0),MATCH(orders!L$1,products!$A$1:$G$1,0))</f>
        <v>11.95</v>
      </c>
    </row>
    <row r="687" spans="1:12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>
        <f>IF(_xlfn.XLOOKUP(orders!C687,customers!$A:$A,customers!$C:$C,,0)=0,"",_xlfn.XLOOKUP(orders!C687,customers!$A:$A,customers!$C:$C,,0))</f>
        <v>jdruittj1@feedburner.com</v>
      </c>
      <c r="H687" s="2" t="str">
        <f>_xlfn.XLOOKUP(C687,customers!$A:$A,customers!$G:$G,,0)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>
        <f>INDEX(products!$A$1:$G$49,MATCH(orders!$D687,products!$A$1:$A$49,0),MATCH(orders!K$1,products!$A$1:$G$1,0))</f>
        <v>2.5</v>
      </c>
      <c r="L687">
        <f>INDEX(products!$A$1:$G$49,MATCH(orders!$D687,products!$A$1:$A$49,0),MATCH(orders!L$1,products!$A$1:$G$1,0))</f>
        <v>36.454999999999998</v>
      </c>
    </row>
    <row r="688" spans="1:12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>
        <f>IF(_xlfn.XLOOKUP(orders!C688,customers!$A:$A,customers!$C:$C,,0)=0,"",_xlfn.XLOOKUP(orders!C688,customers!$A:$A,customers!$C:$C,,0))</f>
        <v>dshortallj2@wikipedia.org</v>
      </c>
      <c r="H688" s="2" t="str">
        <f>_xlfn.XLOOKUP(C688,customers!$A:$A,customers!$G:$G,,0)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>
        <f>INDEX(products!$A$1:$G$49,MATCH(orders!$D688,products!$A$1:$A$49,0),MATCH(orders!K$1,products!$A$1:$G$1,0))</f>
        <v>0.2</v>
      </c>
      <c r="L688">
        <f>INDEX(products!$A$1:$G$49,MATCH(orders!$D688,products!$A$1:$A$49,0),MATCH(orders!L$1,products!$A$1:$G$1,0))</f>
        <v>2.6849999999999996</v>
      </c>
    </row>
    <row r="689" spans="1:12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>
        <f>IF(_xlfn.XLOOKUP(orders!C689,customers!$A:$A,customers!$C:$C,,0)=0,"",_xlfn.XLOOKUP(orders!C689,customers!$A:$A,customers!$C:$C,,0))</f>
        <v>wcottierj3@cafepress.com</v>
      </c>
      <c r="H689" s="2" t="str">
        <f>_xlfn.XLOOKUP(C689,customers!$A:$A,customers!$G:$G,,0)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>
        <f>INDEX(products!$A$1:$G$49,MATCH(orders!$D689,products!$A$1:$A$49,0),MATCH(orders!K$1,products!$A$1:$G$1,0))</f>
        <v>0.5</v>
      </c>
      <c r="L689">
        <f>INDEX(products!$A$1:$G$49,MATCH(orders!$D689,products!$A$1:$A$49,0),MATCH(orders!L$1,products!$A$1:$G$1,0))</f>
        <v>8.25</v>
      </c>
    </row>
    <row r="690" spans="1:12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>
        <f>IF(_xlfn.XLOOKUP(orders!C690,customers!$A:$A,customers!$C:$C,,0)=0,"",_xlfn.XLOOKUP(orders!C690,customers!$A:$A,customers!$C:$C,,0))</f>
        <v>kgrinstedj4@google.com.br</v>
      </c>
      <c r="H690" s="2" t="str">
        <f>_xlfn.XLOOKUP(C690,customers!$A:$A,customers!$G:$G,,0)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>
        <f>INDEX(products!$A$1:$G$49,MATCH(orders!$D690,products!$A$1:$A$49,0),MATCH(orders!K$1,products!$A$1:$G$1,0))</f>
        <v>1</v>
      </c>
      <c r="L690">
        <f>INDEX(products!$A$1:$G$49,MATCH(orders!$D690,products!$A$1:$A$49,0),MATCH(orders!L$1,products!$A$1:$G$1,0))</f>
        <v>12.95</v>
      </c>
    </row>
    <row r="691" spans="1:12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>
        <f>IF(_xlfn.XLOOKUP(orders!C691,customers!$A:$A,customers!$C:$C,,0)=0,"",_xlfn.XLOOKUP(orders!C691,customers!$A:$A,customers!$C:$C,,0))</f>
        <v>dskynerj5@hubpages.com</v>
      </c>
      <c r="H691" s="2" t="str">
        <f>_xlfn.XLOOKUP(C691,customers!$A:$A,customers!$G:$G,,0)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>
        <f>INDEX(products!$A$1:$G$49,MATCH(orders!$D691,products!$A$1:$A$49,0),MATCH(orders!K$1,products!$A$1:$G$1,0))</f>
        <v>0.5</v>
      </c>
      <c r="L691">
        <f>INDEX(products!$A$1:$G$49,MATCH(orders!$D691,products!$A$1:$A$49,0),MATCH(orders!L$1,products!$A$1:$G$1,0))</f>
        <v>6.75</v>
      </c>
    </row>
    <row r="692" spans="1:12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 t="str">
        <f>IF(_xlfn.XLOOKUP(orders!C692,customers!$A:$A,customers!$C:$C,,0)=0,"",_xlfn.XLOOKUP(orders!C692,customers!$A:$A,customers!$C:$C,,0))</f>
        <v/>
      </c>
      <c r="H692" s="2" t="str">
        <f>_xlfn.XLOOKUP(C692,customers!$A:$A,customers!$G:$G,,0)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>
        <f>INDEX(products!$A$1:$G$49,MATCH(orders!$D692,products!$A$1:$A$49,0),MATCH(orders!K$1,products!$A$1:$G$1,0))</f>
        <v>2.5</v>
      </c>
      <c r="L692">
        <f>INDEX(products!$A$1:$G$49,MATCH(orders!$D692,products!$A$1:$A$49,0),MATCH(orders!L$1,products!$A$1:$G$1,0))</f>
        <v>29.784999999999997</v>
      </c>
    </row>
    <row r="693" spans="1:12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>
        <f>IF(_xlfn.XLOOKUP(orders!C693,customers!$A:$A,customers!$C:$C,,0)=0,"",_xlfn.XLOOKUP(orders!C693,customers!$A:$A,customers!$C:$C,,0))</f>
        <v>jdymokeje@prnewswire.com</v>
      </c>
      <c r="H693" s="2" t="str">
        <f>_xlfn.XLOOKUP(C693,customers!$A:$A,customers!$G:$G,,0)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>
        <f>INDEX(products!$A$1:$G$49,MATCH(orders!$D693,products!$A$1:$A$49,0),MATCH(orders!K$1,products!$A$1:$G$1,0))</f>
        <v>1</v>
      </c>
      <c r="L693">
        <f>INDEX(products!$A$1:$G$49,MATCH(orders!$D693,products!$A$1:$A$49,0),MATCH(orders!L$1,products!$A$1:$G$1,0))</f>
        <v>11.25</v>
      </c>
    </row>
    <row r="694" spans="1:12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>
        <f>IF(_xlfn.XLOOKUP(orders!C694,customers!$A:$A,customers!$C:$C,,0)=0,"",_xlfn.XLOOKUP(orders!C694,customers!$A:$A,customers!$C:$C,,0))</f>
        <v>aweinmannj8@shinystat.com</v>
      </c>
      <c r="H694" s="2" t="str">
        <f>_xlfn.XLOOKUP(C694,customers!$A:$A,customers!$G:$G,,0)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>
        <f>INDEX(products!$A$1:$G$49,MATCH(orders!$D694,products!$A$1:$A$49,0),MATCH(orders!K$1,products!$A$1:$G$1,0))</f>
        <v>1</v>
      </c>
      <c r="L694">
        <f>INDEX(products!$A$1:$G$49,MATCH(orders!$D694,products!$A$1:$A$49,0),MATCH(orders!L$1,products!$A$1:$G$1,0))</f>
        <v>12.95</v>
      </c>
    </row>
    <row r="695" spans="1:12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>
        <f>IF(_xlfn.XLOOKUP(orders!C695,customers!$A:$A,customers!$C:$C,,0)=0,"",_xlfn.XLOOKUP(orders!C695,customers!$A:$A,customers!$C:$C,,0))</f>
        <v>eandriessenj9@europa.eu</v>
      </c>
      <c r="H695" s="2" t="str">
        <f>_xlfn.XLOOKUP(C695,customers!$A:$A,customers!$G:$G,,0)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>
        <f>INDEX(products!$A$1:$G$49,MATCH(orders!$D695,products!$A$1:$A$49,0),MATCH(orders!K$1,products!$A$1:$G$1,0))</f>
        <v>2.5</v>
      </c>
      <c r="L695">
        <f>INDEX(products!$A$1:$G$49,MATCH(orders!$D695,products!$A$1:$A$49,0),MATCH(orders!L$1,products!$A$1:$G$1,0))</f>
        <v>25.874999999999996</v>
      </c>
    </row>
    <row r="696" spans="1:12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>
        <f>IF(_xlfn.XLOOKUP(orders!C696,customers!$A:$A,customers!$C:$C,,0)=0,"",_xlfn.XLOOKUP(orders!C696,customers!$A:$A,customers!$C:$C,,0))</f>
        <v>rdeaconsonja@archive.org</v>
      </c>
      <c r="H696" s="2" t="str">
        <f>_xlfn.XLOOKUP(C696,customers!$A:$A,customers!$G:$G,,0)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>
        <f>INDEX(products!$A$1:$G$49,MATCH(orders!$D696,products!$A$1:$A$49,0),MATCH(orders!K$1,products!$A$1:$G$1,0))</f>
        <v>0.5</v>
      </c>
      <c r="L696">
        <f>INDEX(products!$A$1:$G$49,MATCH(orders!$D696,products!$A$1:$A$49,0),MATCH(orders!L$1,products!$A$1:$G$1,0))</f>
        <v>7.29</v>
      </c>
    </row>
    <row r="697" spans="1:12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>
        <f>IF(_xlfn.XLOOKUP(orders!C697,customers!$A:$A,customers!$C:$C,,0)=0,"",_xlfn.XLOOKUP(orders!C697,customers!$A:$A,customers!$C:$C,,0))</f>
        <v>dcarojb@twitter.com</v>
      </c>
      <c r="H697" s="2" t="str">
        <f>_xlfn.XLOOKUP(C697,customers!$A:$A,customers!$G:$G,,0)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>
        <f>INDEX(products!$A$1:$G$49,MATCH(orders!$D697,products!$A$1:$A$49,0),MATCH(orders!K$1,products!$A$1:$G$1,0))</f>
        <v>2.5</v>
      </c>
      <c r="L697">
        <f>INDEX(products!$A$1:$G$49,MATCH(orders!$D697,products!$A$1:$A$49,0),MATCH(orders!L$1,products!$A$1:$G$1,0))</f>
        <v>36.454999999999998</v>
      </c>
    </row>
    <row r="698" spans="1:12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>
        <f>IF(_xlfn.XLOOKUP(orders!C698,customers!$A:$A,customers!$C:$C,,0)=0,"",_xlfn.XLOOKUP(orders!C698,customers!$A:$A,customers!$C:$C,,0))</f>
        <v>jbluckjc@imageshack.us</v>
      </c>
      <c r="H698" s="2" t="str">
        <f>_xlfn.XLOOKUP(C698,customers!$A:$A,customers!$G:$G,,0)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>
        <f>INDEX(products!$A$1:$G$49,MATCH(orders!$D698,products!$A$1:$A$49,0),MATCH(orders!K$1,products!$A$1:$G$1,0))</f>
        <v>0.5</v>
      </c>
      <c r="L698">
        <f>INDEX(products!$A$1:$G$49,MATCH(orders!$D698,products!$A$1:$A$49,0),MATCH(orders!L$1,products!$A$1:$G$1,0))</f>
        <v>7.77</v>
      </c>
    </row>
    <row r="699" spans="1:12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 t="str">
        <f>IF(_xlfn.XLOOKUP(orders!C699,customers!$A:$A,customers!$C:$C,,0)=0,"",_xlfn.XLOOKUP(orders!C699,customers!$A:$A,customers!$C:$C,,0))</f>
        <v/>
      </c>
      <c r="H699" s="2" t="str">
        <f>_xlfn.XLOOKUP(C699,customers!$A:$A,customers!$G:$G,,0)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>
        <f>INDEX(products!$A$1:$G$49,MATCH(orders!$D699,products!$A$1:$A$49,0),MATCH(orders!K$1,products!$A$1:$G$1,0))</f>
        <v>0.5</v>
      </c>
      <c r="L699">
        <f>INDEX(products!$A$1:$G$49,MATCH(orders!$D699,products!$A$1:$A$49,0),MATCH(orders!L$1,products!$A$1:$G$1,0))</f>
        <v>6.75</v>
      </c>
    </row>
    <row r="700" spans="1:12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>
        <f>IF(_xlfn.XLOOKUP(orders!C700,customers!$A:$A,customers!$C:$C,,0)=0,"",_xlfn.XLOOKUP(orders!C700,customers!$A:$A,customers!$C:$C,,0))</f>
        <v>jdymokeje@prnewswire.com</v>
      </c>
      <c r="H700" s="2" t="str">
        <f>_xlfn.XLOOKUP(C700,customers!$A:$A,customers!$G:$G,,0)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>
        <f>INDEX(products!$A$1:$G$49,MATCH(orders!$D700,products!$A$1:$A$49,0),MATCH(orders!K$1,products!$A$1:$G$1,0))</f>
        <v>1</v>
      </c>
      <c r="L700">
        <f>INDEX(products!$A$1:$G$49,MATCH(orders!$D700,products!$A$1:$A$49,0),MATCH(orders!L$1,products!$A$1:$G$1,0))</f>
        <v>12.95</v>
      </c>
    </row>
    <row r="701" spans="1:12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>
        <f>IF(_xlfn.XLOOKUP(orders!C701,customers!$A:$A,customers!$C:$C,,0)=0,"",_xlfn.XLOOKUP(orders!C701,customers!$A:$A,customers!$C:$C,,0))</f>
        <v>otadmanjf@ft.com</v>
      </c>
      <c r="H701" s="2" t="str">
        <f>_xlfn.XLOOKUP(C701,customers!$A:$A,customers!$G:$G,,0)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>
        <f>INDEX(products!$A$1:$G$49,MATCH(orders!$D701,products!$A$1:$A$49,0),MATCH(orders!K$1,products!$A$1:$G$1,0))</f>
        <v>0.5</v>
      </c>
      <c r="L701">
        <f>INDEX(products!$A$1:$G$49,MATCH(orders!$D701,products!$A$1:$A$49,0),MATCH(orders!L$1,products!$A$1:$G$1,0))</f>
        <v>5.97</v>
      </c>
    </row>
    <row r="702" spans="1:12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>
        <f>IF(_xlfn.XLOOKUP(orders!C702,customers!$A:$A,customers!$C:$C,,0)=0,"",_xlfn.XLOOKUP(orders!C702,customers!$A:$A,customers!$C:$C,,0))</f>
        <v>bguddejg@dailymotion.com</v>
      </c>
      <c r="H702" s="2" t="str">
        <f>_xlfn.XLOOKUP(C702,customers!$A:$A,customers!$G:$G,,0)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>
        <f>INDEX(products!$A$1:$G$49,MATCH(orders!$D702,products!$A$1:$A$49,0),MATCH(orders!K$1,products!$A$1:$G$1,0))</f>
        <v>0.5</v>
      </c>
      <c r="L702">
        <f>INDEX(products!$A$1:$G$49,MATCH(orders!$D702,products!$A$1:$A$49,0),MATCH(orders!L$1,products!$A$1:$G$1,0))</f>
        <v>9.51</v>
      </c>
    </row>
    <row r="703" spans="1:12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>
        <f>IF(_xlfn.XLOOKUP(orders!C703,customers!$A:$A,customers!$C:$C,,0)=0,"",_xlfn.XLOOKUP(orders!C703,customers!$A:$A,customers!$C:$C,,0))</f>
        <v>nsictornesjh@buzzfeed.com</v>
      </c>
      <c r="H703" s="2" t="str">
        <f>_xlfn.XLOOKUP(C703,customers!$A:$A,customers!$G:$G,,0)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>
        <f>INDEX(products!$A$1:$G$49,MATCH(orders!$D703,products!$A$1:$A$49,0),MATCH(orders!K$1,products!$A$1:$G$1,0))</f>
        <v>0.5</v>
      </c>
      <c r="L703">
        <f>INDEX(products!$A$1:$G$49,MATCH(orders!$D703,products!$A$1:$A$49,0),MATCH(orders!L$1,products!$A$1:$G$1,0))</f>
        <v>5.97</v>
      </c>
    </row>
    <row r="704" spans="1:12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>
        <f>IF(_xlfn.XLOOKUP(orders!C704,customers!$A:$A,customers!$C:$C,,0)=0,"",_xlfn.XLOOKUP(orders!C704,customers!$A:$A,customers!$C:$C,,0))</f>
        <v>vdunningji@independent.co.uk</v>
      </c>
      <c r="H704" s="2" t="str">
        <f>_xlfn.XLOOKUP(C704,customers!$A:$A,customers!$G:$G,,0)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>
        <f>INDEX(products!$A$1:$G$49,MATCH(orders!$D704,products!$A$1:$A$49,0),MATCH(orders!K$1,products!$A$1:$G$1,0))</f>
        <v>0.5</v>
      </c>
      <c r="L704">
        <f>INDEX(products!$A$1:$G$49,MATCH(orders!$D704,products!$A$1:$A$49,0),MATCH(orders!L$1,products!$A$1:$G$1,0))</f>
        <v>7.77</v>
      </c>
    </row>
    <row r="705" spans="1:12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 t="str">
        <f>IF(_xlfn.XLOOKUP(orders!C705,customers!$A:$A,customers!$C:$C,,0)=0,"",_xlfn.XLOOKUP(orders!C705,customers!$A:$A,customers!$C:$C,,0))</f>
        <v/>
      </c>
      <c r="H705" s="2" t="str">
        <f>_xlfn.XLOOKUP(C705,customers!$A:$A,customers!$G:$G,,0)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>
        <f>INDEX(products!$A$1:$G$49,MATCH(orders!$D705,products!$A$1:$A$49,0),MATCH(orders!K$1,products!$A$1:$G$1,0))</f>
        <v>2.5</v>
      </c>
      <c r="L705">
        <f>INDEX(products!$A$1:$G$49,MATCH(orders!$D705,products!$A$1:$A$49,0),MATCH(orders!L$1,products!$A$1:$G$1,0))</f>
        <v>29.784999999999997</v>
      </c>
    </row>
    <row r="706" spans="1:12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 t="str">
        <f>IF(_xlfn.XLOOKUP(orders!C706,customers!$A:$A,customers!$C:$C,,0)=0,"",_xlfn.XLOOKUP(orders!C706,customers!$A:$A,customers!$C:$C,,0))</f>
        <v/>
      </c>
      <c r="H706" s="2" t="str">
        <f>_xlfn.XLOOKUP(C706,customers!$A:$A,customers!$G:$G,,0)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>
        <f>INDEX(products!$A$1:$G$49,MATCH(orders!$D706,products!$A$1:$A$49,0),MATCH(orders!K$1,products!$A$1:$G$1,0))</f>
        <v>0.2</v>
      </c>
      <c r="L706">
        <f>INDEX(products!$A$1:$G$49,MATCH(orders!$D706,products!$A$1:$A$49,0),MATCH(orders!L$1,products!$A$1:$G$1,0))</f>
        <v>3.645</v>
      </c>
    </row>
    <row r="707" spans="1:12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>
        <f>IF(_xlfn.XLOOKUP(orders!C707,customers!$A:$A,customers!$C:$C,,0)=0,"",_xlfn.XLOOKUP(orders!C707,customers!$A:$A,customers!$C:$C,,0))</f>
        <v>sgehringjl@gnu.org</v>
      </c>
      <c r="H707" s="2" t="str">
        <f>_xlfn.XLOOKUP(C707,customers!$A:$A,customers!$G:$G,,0)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>
        <f>INDEX(products!$A$1:$G$49,MATCH(orders!$D707,products!$A$1:$A$49,0),MATCH(orders!K$1,products!$A$1:$G$1,0))</f>
        <v>0.5</v>
      </c>
      <c r="L707">
        <f>INDEX(products!$A$1:$G$49,MATCH(orders!$D707,products!$A$1:$A$49,0),MATCH(orders!L$1,products!$A$1:$G$1,0))</f>
        <v>8.91</v>
      </c>
    </row>
    <row r="708" spans="1:12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>
        <f>IF(_xlfn.XLOOKUP(orders!C708,customers!$A:$A,customers!$C:$C,,0)=0,"",_xlfn.XLOOKUP(orders!C708,customers!$A:$A,customers!$C:$C,,0))</f>
        <v>bfallowesjm@purevolume.com</v>
      </c>
      <c r="H708" s="2" t="str">
        <f>_xlfn.XLOOKUP(C708,customers!$A:$A,customers!$G:$G,,0)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>
        <f>INDEX(products!$A$1:$G$49,MATCH(orders!$D708,products!$A$1:$A$49,0),MATCH(orders!K$1,products!$A$1:$G$1,0))</f>
        <v>0.2</v>
      </c>
      <c r="L708">
        <f>INDEX(products!$A$1:$G$49,MATCH(orders!$D708,products!$A$1:$A$49,0),MATCH(orders!L$1,products!$A$1:$G$1,0))</f>
        <v>4.125</v>
      </c>
    </row>
    <row r="709" spans="1:12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 t="str">
        <f>IF(_xlfn.XLOOKUP(orders!C709,customers!$A:$A,customers!$C:$C,,0)=0,"",_xlfn.XLOOKUP(orders!C709,customers!$A:$A,customers!$C:$C,,0))</f>
        <v/>
      </c>
      <c r="H709" s="2" t="str">
        <f>_xlfn.XLOOKUP(C709,customers!$A:$A,customers!$G:$G,,0)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>
        <f>INDEX(products!$A$1:$G$49,MATCH(orders!$D709,products!$A$1:$A$49,0),MATCH(orders!K$1,products!$A$1:$G$1,0))</f>
        <v>1</v>
      </c>
      <c r="L709">
        <f>INDEX(products!$A$1:$G$49,MATCH(orders!$D709,products!$A$1:$A$49,0),MATCH(orders!L$1,products!$A$1:$G$1,0))</f>
        <v>12.95</v>
      </c>
    </row>
    <row r="710" spans="1:12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>
        <f>IF(_xlfn.XLOOKUP(orders!C710,customers!$A:$A,customers!$C:$C,,0)=0,"",_xlfn.XLOOKUP(orders!C710,customers!$A:$A,customers!$C:$C,,0))</f>
        <v>sdejo@newsvine.com</v>
      </c>
      <c r="H710" s="2" t="str">
        <f>_xlfn.XLOOKUP(C710,customers!$A:$A,customers!$G:$G,,0)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>
        <f>INDEX(products!$A$1:$G$49,MATCH(orders!$D710,products!$A$1:$A$49,0),MATCH(orders!K$1,products!$A$1:$G$1,0))</f>
        <v>0.5</v>
      </c>
      <c r="L710">
        <f>INDEX(products!$A$1:$G$49,MATCH(orders!$D710,products!$A$1:$A$49,0),MATCH(orders!L$1,products!$A$1:$G$1,0))</f>
        <v>6.75</v>
      </c>
    </row>
    <row r="711" spans="1:12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 t="str">
        <f>IF(_xlfn.XLOOKUP(orders!C711,customers!$A:$A,customers!$C:$C,,0)=0,"",_xlfn.XLOOKUP(orders!C711,customers!$A:$A,customers!$C:$C,,0))</f>
        <v/>
      </c>
      <c r="H711" s="2" t="str">
        <f>_xlfn.XLOOKUP(C711,customers!$A:$A,customers!$G:$G,,0)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>
        <f>INDEX(products!$A$1:$G$49,MATCH(orders!$D711,products!$A$1:$A$49,0),MATCH(orders!K$1,products!$A$1:$G$1,0))</f>
        <v>0.5</v>
      </c>
      <c r="L711">
        <f>INDEX(products!$A$1:$G$49,MATCH(orders!$D711,products!$A$1:$A$49,0),MATCH(orders!L$1,products!$A$1:$G$1,0))</f>
        <v>8.91</v>
      </c>
    </row>
    <row r="712" spans="1:12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>
        <f>IF(_xlfn.XLOOKUP(orders!C712,customers!$A:$A,customers!$C:$C,,0)=0,"",_xlfn.XLOOKUP(orders!C712,customers!$A:$A,customers!$C:$C,,0))</f>
        <v>scountjq@nba.com</v>
      </c>
      <c r="H712" s="2" t="str">
        <f>_xlfn.XLOOKUP(C712,customers!$A:$A,customers!$G:$G,,0)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>
        <f>INDEX(products!$A$1:$G$49,MATCH(orders!$D712,products!$A$1:$A$49,0),MATCH(orders!K$1,products!$A$1:$G$1,0))</f>
        <v>0.5</v>
      </c>
      <c r="L712">
        <f>INDEX(products!$A$1:$G$49,MATCH(orders!$D712,products!$A$1:$A$49,0),MATCH(orders!L$1,products!$A$1:$G$1,0))</f>
        <v>8.25</v>
      </c>
    </row>
    <row r="713" spans="1:12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>
        <f>IF(_xlfn.XLOOKUP(orders!C713,customers!$A:$A,customers!$C:$C,,0)=0,"",_xlfn.XLOOKUP(orders!C713,customers!$A:$A,customers!$C:$C,,0))</f>
        <v>sraglesjr@blogtalkradio.com</v>
      </c>
      <c r="H713" s="2" t="str">
        <f>_xlfn.XLOOKUP(C713,customers!$A:$A,customers!$G:$G,,0)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>
        <f>INDEX(products!$A$1:$G$49,MATCH(orders!$D713,products!$A$1:$A$49,0),MATCH(orders!K$1,products!$A$1:$G$1,0))</f>
        <v>0.2</v>
      </c>
      <c r="L713">
        <f>INDEX(products!$A$1:$G$49,MATCH(orders!$D713,products!$A$1:$A$49,0),MATCH(orders!L$1,products!$A$1:$G$1,0))</f>
        <v>2.9849999999999999</v>
      </c>
    </row>
    <row r="714" spans="1:12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 t="str">
        <f>IF(_xlfn.XLOOKUP(orders!C714,customers!$A:$A,customers!$C:$C,,0)=0,"",_xlfn.XLOOKUP(orders!C714,customers!$A:$A,customers!$C:$C,,0))</f>
        <v/>
      </c>
      <c r="H714" s="2" t="str">
        <f>_xlfn.XLOOKUP(C714,customers!$A:$A,customers!$G:$G,,0)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>
        <f>INDEX(products!$A$1:$G$49,MATCH(orders!$D714,products!$A$1:$A$49,0),MATCH(orders!K$1,products!$A$1:$G$1,0))</f>
        <v>0.5</v>
      </c>
      <c r="L714">
        <f>INDEX(products!$A$1:$G$49,MATCH(orders!$D714,products!$A$1:$A$49,0),MATCH(orders!L$1,products!$A$1:$G$1,0))</f>
        <v>8.25</v>
      </c>
    </row>
    <row r="715" spans="1:12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>
        <f>IF(_xlfn.XLOOKUP(orders!C715,customers!$A:$A,customers!$C:$C,,0)=0,"",_xlfn.XLOOKUP(orders!C715,customers!$A:$A,customers!$C:$C,,0))</f>
        <v>sbruunjt@blogtalkradio.com</v>
      </c>
      <c r="H715" s="2" t="str">
        <f>_xlfn.XLOOKUP(C715,customers!$A:$A,customers!$G:$G,,0)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>
        <f>INDEX(products!$A$1:$G$49,MATCH(orders!$D715,products!$A$1:$A$49,0),MATCH(orders!K$1,products!$A$1:$G$1,0))</f>
        <v>0.2</v>
      </c>
      <c r="L715">
        <f>INDEX(products!$A$1:$G$49,MATCH(orders!$D715,products!$A$1:$A$49,0),MATCH(orders!L$1,products!$A$1:$G$1,0))</f>
        <v>2.9849999999999999</v>
      </c>
    </row>
    <row r="716" spans="1:12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>
        <f>IF(_xlfn.XLOOKUP(orders!C716,customers!$A:$A,customers!$C:$C,,0)=0,"",_xlfn.XLOOKUP(orders!C716,customers!$A:$A,customers!$C:$C,,0))</f>
        <v>aplluju@dagondesign.com</v>
      </c>
      <c r="H716" s="2" t="str">
        <f>_xlfn.XLOOKUP(C716,customers!$A:$A,customers!$G:$G,,0)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>
        <f>INDEX(products!$A$1:$G$49,MATCH(orders!$D716,products!$A$1:$A$49,0),MATCH(orders!K$1,products!$A$1:$G$1,0))</f>
        <v>0.2</v>
      </c>
      <c r="L716">
        <f>INDEX(products!$A$1:$G$49,MATCH(orders!$D716,products!$A$1:$A$49,0),MATCH(orders!L$1,products!$A$1:$G$1,0))</f>
        <v>3.645</v>
      </c>
    </row>
    <row r="717" spans="1:12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>
        <f>IF(_xlfn.XLOOKUP(orders!C717,customers!$A:$A,customers!$C:$C,,0)=0,"",_xlfn.XLOOKUP(orders!C717,customers!$A:$A,customers!$C:$C,,0))</f>
        <v>gcornierjv@techcrunch.com</v>
      </c>
      <c r="H717" s="2" t="str">
        <f>_xlfn.XLOOKUP(C717,customers!$A:$A,customers!$G:$G,,0)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>
        <f>INDEX(products!$A$1:$G$49,MATCH(orders!$D717,products!$A$1:$A$49,0),MATCH(orders!K$1,products!$A$1:$G$1,0))</f>
        <v>1</v>
      </c>
      <c r="L717">
        <f>INDEX(products!$A$1:$G$49,MATCH(orders!$D717,products!$A$1:$A$49,0),MATCH(orders!L$1,products!$A$1:$G$1,0))</f>
        <v>14.85</v>
      </c>
    </row>
    <row r="718" spans="1:12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>
        <f>IF(_xlfn.XLOOKUP(orders!C718,customers!$A:$A,customers!$C:$C,,0)=0,"",_xlfn.XLOOKUP(orders!C718,customers!$A:$A,customers!$C:$C,,0))</f>
        <v>jdymokeje@prnewswire.com</v>
      </c>
      <c r="H718" s="2" t="str">
        <f>_xlfn.XLOOKUP(C718,customers!$A:$A,customers!$G:$G,,0)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>
        <f>INDEX(products!$A$1:$G$49,MATCH(orders!$D718,products!$A$1:$A$49,0),MATCH(orders!K$1,products!$A$1:$G$1,0))</f>
        <v>1</v>
      </c>
      <c r="L718">
        <f>INDEX(products!$A$1:$G$49,MATCH(orders!$D718,products!$A$1:$A$49,0),MATCH(orders!L$1,products!$A$1:$G$1,0))</f>
        <v>11.95</v>
      </c>
    </row>
    <row r="719" spans="1:12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>
        <f>IF(_xlfn.XLOOKUP(orders!C719,customers!$A:$A,customers!$C:$C,,0)=0,"",_xlfn.XLOOKUP(orders!C719,customers!$A:$A,customers!$C:$C,,0))</f>
        <v>wharvisonjx@gizmodo.com</v>
      </c>
      <c r="H719" s="2" t="str">
        <f>_xlfn.XLOOKUP(C719,customers!$A:$A,customers!$G:$G,,0)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>
        <f>INDEX(products!$A$1:$G$49,MATCH(orders!$D719,products!$A$1:$A$49,0),MATCH(orders!K$1,products!$A$1:$G$1,0))</f>
        <v>2.5</v>
      </c>
      <c r="L719">
        <f>INDEX(products!$A$1:$G$49,MATCH(orders!$D719,products!$A$1:$A$49,0),MATCH(orders!L$1,products!$A$1:$G$1,0))</f>
        <v>22.884999999999998</v>
      </c>
    </row>
    <row r="720" spans="1:12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>
        <f>IF(_xlfn.XLOOKUP(orders!C720,customers!$A:$A,customers!$C:$C,,0)=0,"",_xlfn.XLOOKUP(orders!C720,customers!$A:$A,customers!$C:$C,,0))</f>
        <v>dheafordjy@twitpic.com</v>
      </c>
      <c r="H720" s="2" t="str">
        <f>_xlfn.XLOOKUP(C720,customers!$A:$A,customers!$G:$G,,0)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>
        <f>INDEX(products!$A$1:$G$49,MATCH(orders!$D720,products!$A$1:$A$49,0),MATCH(orders!K$1,products!$A$1:$G$1,0))</f>
        <v>1</v>
      </c>
      <c r="L720">
        <f>INDEX(products!$A$1:$G$49,MATCH(orders!$D720,products!$A$1:$A$49,0),MATCH(orders!L$1,products!$A$1:$G$1,0))</f>
        <v>12.95</v>
      </c>
    </row>
    <row r="721" spans="1:12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>
        <f>IF(_xlfn.XLOOKUP(orders!C721,customers!$A:$A,customers!$C:$C,,0)=0,"",_xlfn.XLOOKUP(orders!C721,customers!$A:$A,customers!$C:$C,,0))</f>
        <v>gfanthamjz@hexun.com</v>
      </c>
      <c r="H721" s="2" t="str">
        <f>_xlfn.XLOOKUP(C721,customers!$A:$A,customers!$G:$G,,0)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>
        <f>INDEX(products!$A$1:$G$49,MATCH(orders!$D721,products!$A$1:$A$49,0),MATCH(orders!K$1,products!$A$1:$G$1,0))</f>
        <v>1</v>
      </c>
      <c r="L721">
        <f>INDEX(products!$A$1:$G$49,MATCH(orders!$D721,products!$A$1:$A$49,0),MATCH(orders!L$1,products!$A$1:$G$1,0))</f>
        <v>15.85</v>
      </c>
    </row>
    <row r="722" spans="1:12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>
        <f>IF(_xlfn.XLOOKUP(orders!C722,customers!$A:$A,customers!$C:$C,,0)=0,"",_xlfn.XLOOKUP(orders!C722,customers!$A:$A,customers!$C:$C,,0))</f>
        <v>rcrookshanksk0@unc.edu</v>
      </c>
      <c r="H722" s="2" t="str">
        <f>_xlfn.XLOOKUP(C722,customers!$A:$A,customers!$G:$G,,0)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>
        <f>INDEX(products!$A$1:$G$49,MATCH(orders!$D722,products!$A$1:$A$49,0),MATCH(orders!K$1,products!$A$1:$G$1,0))</f>
        <v>0.5</v>
      </c>
      <c r="L722">
        <f>INDEX(products!$A$1:$G$49,MATCH(orders!$D722,products!$A$1:$A$49,0),MATCH(orders!L$1,products!$A$1:$G$1,0))</f>
        <v>7.29</v>
      </c>
    </row>
    <row r="723" spans="1:12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>
        <f>IF(_xlfn.XLOOKUP(orders!C723,customers!$A:$A,customers!$C:$C,,0)=0,"",_xlfn.XLOOKUP(orders!C723,customers!$A:$A,customers!$C:$C,,0))</f>
        <v>nleakek1@cmu.edu</v>
      </c>
      <c r="H723" s="2" t="str">
        <f>_xlfn.XLOOKUP(C723,customers!$A:$A,customers!$G:$G,,0)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>
        <f>INDEX(products!$A$1:$G$49,MATCH(orders!$D723,products!$A$1:$A$49,0),MATCH(orders!K$1,products!$A$1:$G$1,0))</f>
        <v>0.2</v>
      </c>
      <c r="L723">
        <f>INDEX(products!$A$1:$G$49,MATCH(orders!$D723,products!$A$1:$A$49,0),MATCH(orders!L$1,products!$A$1:$G$1,0))</f>
        <v>2.9849999999999999</v>
      </c>
    </row>
    <row r="724" spans="1:12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 t="str">
        <f>IF(_xlfn.XLOOKUP(orders!C724,customers!$A:$A,customers!$C:$C,,0)=0,"",_xlfn.XLOOKUP(orders!C724,customers!$A:$A,customers!$C:$C,,0))</f>
        <v/>
      </c>
      <c r="H724" s="2" t="str">
        <f>_xlfn.XLOOKUP(C724,customers!$A:$A,customers!$G:$G,,0)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>
        <f>INDEX(products!$A$1:$G$49,MATCH(orders!$D724,products!$A$1:$A$49,0),MATCH(orders!K$1,products!$A$1:$G$1,0))</f>
        <v>1</v>
      </c>
      <c r="L724">
        <f>INDEX(products!$A$1:$G$49,MATCH(orders!$D724,products!$A$1:$A$49,0),MATCH(orders!L$1,products!$A$1:$G$1,0))</f>
        <v>12.15</v>
      </c>
    </row>
    <row r="725" spans="1:12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>
        <f>IF(_xlfn.XLOOKUP(orders!C725,customers!$A:$A,customers!$C:$C,,0)=0,"",_xlfn.XLOOKUP(orders!C725,customers!$A:$A,customers!$C:$C,,0))</f>
        <v>geilhersenk3@networksolutions.com</v>
      </c>
      <c r="H725" s="2" t="str">
        <f>_xlfn.XLOOKUP(C725,customers!$A:$A,customers!$G:$G,,0)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>
        <f>INDEX(products!$A$1:$G$49,MATCH(orders!$D725,products!$A$1:$A$49,0),MATCH(orders!K$1,products!$A$1:$G$1,0))</f>
        <v>2.5</v>
      </c>
      <c r="L725">
        <f>INDEX(products!$A$1:$G$49,MATCH(orders!$D725,products!$A$1:$A$49,0),MATCH(orders!L$1,products!$A$1:$G$1,0))</f>
        <v>31.624999999999996</v>
      </c>
    </row>
    <row r="726" spans="1:12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 t="str">
        <f>IF(_xlfn.XLOOKUP(orders!C726,customers!$A:$A,customers!$C:$C,,0)=0,"",_xlfn.XLOOKUP(orders!C726,customers!$A:$A,customers!$C:$C,,0))</f>
        <v/>
      </c>
      <c r="H726" s="2" t="str">
        <f>_xlfn.XLOOKUP(C726,customers!$A:$A,customers!$G:$G,,0)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>
        <f>INDEX(products!$A$1:$G$49,MATCH(orders!$D726,products!$A$1:$A$49,0),MATCH(orders!K$1,products!$A$1:$G$1,0))</f>
        <v>0.2</v>
      </c>
      <c r="L726">
        <f>INDEX(products!$A$1:$G$49,MATCH(orders!$D726,products!$A$1:$A$49,0),MATCH(orders!L$1,products!$A$1:$G$1,0))</f>
        <v>3.375</v>
      </c>
    </row>
    <row r="727" spans="1:12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>
        <f>IF(_xlfn.XLOOKUP(orders!C727,customers!$A:$A,customers!$C:$C,,0)=0,"",_xlfn.XLOOKUP(orders!C727,customers!$A:$A,customers!$C:$C,,0))</f>
        <v>caleixok5@globo.com</v>
      </c>
      <c r="H727" s="2" t="str">
        <f>_xlfn.XLOOKUP(C727,customers!$A:$A,customers!$G:$G,,0)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>
        <f>INDEX(products!$A$1:$G$49,MATCH(orders!$D727,products!$A$1:$A$49,0),MATCH(orders!K$1,products!$A$1:$G$1,0))</f>
        <v>0.2</v>
      </c>
      <c r="L727">
        <f>INDEX(products!$A$1:$G$49,MATCH(orders!$D727,products!$A$1:$A$49,0),MATCH(orders!L$1,products!$A$1:$G$1,0))</f>
        <v>3.8849999999999998</v>
      </c>
    </row>
    <row r="728" spans="1:12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 t="str">
        <f>IF(_xlfn.XLOOKUP(orders!C728,customers!$A:$A,customers!$C:$C,,0)=0,"",_xlfn.XLOOKUP(orders!C728,customers!$A:$A,customers!$C:$C,,0))</f>
        <v/>
      </c>
      <c r="H728" s="2" t="str">
        <f>_xlfn.XLOOKUP(C728,customers!$A:$A,customers!$G:$G,,0)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>
        <f>INDEX(products!$A$1:$G$49,MATCH(orders!$D728,products!$A$1:$A$49,0),MATCH(orders!K$1,products!$A$1:$G$1,0))</f>
        <v>2.5</v>
      </c>
      <c r="L728">
        <f>INDEX(products!$A$1:$G$49,MATCH(orders!$D728,products!$A$1:$A$49,0),MATCH(orders!L$1,products!$A$1:$G$1,0))</f>
        <v>36.454999999999998</v>
      </c>
    </row>
    <row r="729" spans="1:12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>
        <f>IF(_xlfn.XLOOKUP(orders!C729,customers!$A:$A,customers!$C:$C,,0)=0,"",_xlfn.XLOOKUP(orders!C729,customers!$A:$A,customers!$C:$C,,0))</f>
        <v>rtomkowiczk7@bravesites.com</v>
      </c>
      <c r="H729" s="2" t="str">
        <f>_xlfn.XLOOKUP(C729,customers!$A:$A,customers!$G:$G,,0)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>
        <f>INDEX(products!$A$1:$G$49,MATCH(orders!$D729,products!$A$1:$A$49,0),MATCH(orders!K$1,products!$A$1:$G$1,0))</f>
        <v>0.5</v>
      </c>
      <c r="L729">
        <f>INDEX(products!$A$1:$G$49,MATCH(orders!$D729,products!$A$1:$A$49,0),MATCH(orders!L$1,products!$A$1:$G$1,0))</f>
        <v>5.97</v>
      </c>
    </row>
    <row r="730" spans="1:12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>
        <f>IF(_xlfn.XLOOKUP(orders!C730,customers!$A:$A,customers!$C:$C,,0)=0,"",_xlfn.XLOOKUP(orders!C730,customers!$A:$A,customers!$C:$C,,0))</f>
        <v>rhuscroftk8@jimdo.com</v>
      </c>
      <c r="H730" s="2" t="str">
        <f>_xlfn.XLOOKUP(C730,customers!$A:$A,customers!$G:$G,,0)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>
        <f>INDEX(products!$A$1:$G$49,MATCH(orders!$D730,products!$A$1:$A$49,0),MATCH(orders!K$1,products!$A$1:$G$1,0))</f>
        <v>0.5</v>
      </c>
      <c r="L730">
        <f>INDEX(products!$A$1:$G$49,MATCH(orders!$D730,products!$A$1:$A$49,0),MATCH(orders!L$1,products!$A$1:$G$1,0))</f>
        <v>7.29</v>
      </c>
    </row>
    <row r="731" spans="1:12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>
        <f>IF(_xlfn.XLOOKUP(orders!C731,customers!$A:$A,customers!$C:$C,,0)=0,"",_xlfn.XLOOKUP(orders!C731,customers!$A:$A,customers!$C:$C,,0))</f>
        <v>sscurrerk9@flavors.me</v>
      </c>
      <c r="H731" s="2" t="str">
        <f>_xlfn.XLOOKUP(C731,customers!$A:$A,customers!$G:$G,,0)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>
        <f>INDEX(products!$A$1:$G$49,MATCH(orders!$D731,products!$A$1:$A$49,0),MATCH(orders!K$1,products!$A$1:$G$1,0))</f>
        <v>0.2</v>
      </c>
      <c r="L731">
        <f>INDEX(products!$A$1:$G$49,MATCH(orders!$D731,products!$A$1:$A$49,0),MATCH(orders!L$1,products!$A$1:$G$1,0))</f>
        <v>4.3650000000000002</v>
      </c>
    </row>
    <row r="732" spans="1:12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>
        <f>IF(_xlfn.XLOOKUP(orders!C732,customers!$A:$A,customers!$C:$C,,0)=0,"",_xlfn.XLOOKUP(orders!C732,customers!$A:$A,customers!$C:$C,,0))</f>
        <v>arudramka@prnewswire.com</v>
      </c>
      <c r="H732" s="2" t="str">
        <f>_xlfn.XLOOKUP(C732,customers!$A:$A,customers!$G:$G,,0)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>
        <f>INDEX(products!$A$1:$G$49,MATCH(orders!$D732,products!$A$1:$A$49,0),MATCH(orders!K$1,products!$A$1:$G$1,0))</f>
        <v>2.5</v>
      </c>
      <c r="L732">
        <f>INDEX(products!$A$1:$G$49,MATCH(orders!$D732,products!$A$1:$A$49,0),MATCH(orders!L$1,products!$A$1:$G$1,0))</f>
        <v>36.454999999999998</v>
      </c>
    </row>
    <row r="733" spans="1:12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 t="str">
        <f>IF(_xlfn.XLOOKUP(orders!C733,customers!$A:$A,customers!$C:$C,,0)=0,"",_xlfn.XLOOKUP(orders!C733,customers!$A:$A,customers!$C:$C,,0))</f>
        <v/>
      </c>
      <c r="H733" s="2" t="str">
        <f>_xlfn.XLOOKUP(C733,customers!$A:$A,customers!$G:$G,,0)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>
        <f>INDEX(products!$A$1:$G$49,MATCH(orders!$D733,products!$A$1:$A$49,0),MATCH(orders!K$1,products!$A$1:$G$1,0))</f>
        <v>0.2</v>
      </c>
      <c r="L733">
        <f>INDEX(products!$A$1:$G$49,MATCH(orders!$D733,products!$A$1:$A$49,0),MATCH(orders!L$1,products!$A$1:$G$1,0))</f>
        <v>3.8849999999999998</v>
      </c>
    </row>
    <row r="734" spans="1:12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>
        <f>IF(_xlfn.XLOOKUP(orders!C734,customers!$A:$A,customers!$C:$C,,0)=0,"",_xlfn.XLOOKUP(orders!C734,customers!$A:$A,customers!$C:$C,,0))</f>
        <v>jmahakc@cyberchimps.com</v>
      </c>
      <c r="H734" s="2" t="str">
        <f>_xlfn.XLOOKUP(C734,customers!$A:$A,customers!$G:$G,,0)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>
        <f>INDEX(products!$A$1:$G$49,MATCH(orders!$D734,products!$A$1:$A$49,0),MATCH(orders!K$1,products!$A$1:$G$1,0))</f>
        <v>0.2</v>
      </c>
      <c r="L734">
        <f>INDEX(products!$A$1:$G$49,MATCH(orders!$D734,products!$A$1:$A$49,0),MATCH(orders!L$1,products!$A$1:$G$1,0))</f>
        <v>4.4550000000000001</v>
      </c>
    </row>
    <row r="735" spans="1:12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>
        <f>IF(_xlfn.XLOOKUP(orders!C735,customers!$A:$A,customers!$C:$C,,0)=0,"",_xlfn.XLOOKUP(orders!C735,customers!$A:$A,customers!$C:$C,,0))</f>
        <v>gclemonkd@networksolutions.com</v>
      </c>
      <c r="H735" s="2" t="str">
        <f>_xlfn.XLOOKUP(C735,customers!$A:$A,customers!$G:$G,,0)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>
        <f>INDEX(products!$A$1:$G$49,MATCH(orders!$D735,products!$A$1:$A$49,0),MATCH(orders!K$1,products!$A$1:$G$1,0))</f>
        <v>2.5</v>
      </c>
      <c r="L735">
        <f>INDEX(products!$A$1:$G$49,MATCH(orders!$D735,products!$A$1:$A$49,0),MATCH(orders!L$1,products!$A$1:$G$1,0))</f>
        <v>33.464999999999996</v>
      </c>
    </row>
    <row r="736" spans="1:12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 t="str">
        <f>IF(_xlfn.XLOOKUP(orders!C736,customers!$A:$A,customers!$C:$C,,0)=0,"",_xlfn.XLOOKUP(orders!C736,customers!$A:$A,customers!$C:$C,,0))</f>
        <v/>
      </c>
      <c r="H736" s="2" t="str">
        <f>_xlfn.XLOOKUP(C736,customers!$A:$A,customers!$G:$G,,0)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>
        <f>INDEX(products!$A$1:$G$49,MATCH(orders!$D736,products!$A$1:$A$49,0),MATCH(orders!K$1,products!$A$1:$G$1,0))</f>
        <v>0.2</v>
      </c>
      <c r="L736">
        <f>INDEX(products!$A$1:$G$49,MATCH(orders!$D736,products!$A$1:$A$49,0),MATCH(orders!L$1,products!$A$1:$G$1,0))</f>
        <v>2.6849999999999996</v>
      </c>
    </row>
    <row r="737" spans="1:12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>
        <f>IF(_xlfn.XLOOKUP(orders!C737,customers!$A:$A,customers!$C:$C,,0)=0,"",_xlfn.XLOOKUP(orders!C737,customers!$A:$A,customers!$C:$C,,0))</f>
        <v>bpollinskf@shinystat.com</v>
      </c>
      <c r="H737" s="2" t="str">
        <f>_xlfn.XLOOKUP(C737,customers!$A:$A,customers!$G:$G,,0)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>
        <f>INDEX(products!$A$1:$G$49,MATCH(orders!$D737,products!$A$1:$A$49,0),MATCH(orders!K$1,products!$A$1:$G$1,0))</f>
        <v>0.2</v>
      </c>
      <c r="L737">
        <f>INDEX(products!$A$1:$G$49,MATCH(orders!$D737,products!$A$1:$A$49,0),MATCH(orders!L$1,products!$A$1:$G$1,0))</f>
        <v>3.645</v>
      </c>
    </row>
    <row r="738" spans="1:12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>
        <f>IF(_xlfn.XLOOKUP(orders!C738,customers!$A:$A,customers!$C:$C,,0)=0,"",_xlfn.XLOOKUP(orders!C738,customers!$A:$A,customers!$C:$C,,0))</f>
        <v>jtoyekg@pinterest.com</v>
      </c>
      <c r="H738" s="2" t="str">
        <f>_xlfn.XLOOKUP(C738,customers!$A:$A,customers!$G:$G,,0)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>
        <f>INDEX(products!$A$1:$G$49,MATCH(orders!$D738,products!$A$1:$A$49,0),MATCH(orders!K$1,products!$A$1:$G$1,0))</f>
        <v>1</v>
      </c>
      <c r="L738">
        <f>INDEX(products!$A$1:$G$49,MATCH(orders!$D738,products!$A$1:$A$49,0),MATCH(orders!L$1,products!$A$1:$G$1,0))</f>
        <v>12.95</v>
      </c>
    </row>
    <row r="739" spans="1:12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>
        <f>IF(_xlfn.XLOOKUP(orders!C739,customers!$A:$A,customers!$C:$C,,0)=0,"",_xlfn.XLOOKUP(orders!C739,customers!$A:$A,customers!$C:$C,,0))</f>
        <v>clinskillkh@sphinn.com</v>
      </c>
      <c r="H739" s="2" t="str">
        <f>_xlfn.XLOOKUP(C739,customers!$A:$A,customers!$G:$G,,0)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>
        <f>INDEX(products!$A$1:$G$49,MATCH(orders!$D739,products!$A$1:$A$49,0),MATCH(orders!K$1,products!$A$1:$G$1,0))</f>
        <v>1</v>
      </c>
      <c r="L739">
        <f>INDEX(products!$A$1:$G$49,MATCH(orders!$D739,products!$A$1:$A$49,0),MATCH(orders!L$1,products!$A$1:$G$1,0))</f>
        <v>11.25</v>
      </c>
    </row>
    <row r="740" spans="1:12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>
        <f>IF(_xlfn.XLOOKUP(orders!C740,customers!$A:$A,customers!$C:$C,,0)=0,"",_xlfn.XLOOKUP(orders!C740,customers!$A:$A,customers!$C:$C,,0))</f>
        <v>nvigrasski@ezinearticles.com</v>
      </c>
      <c r="H740" s="2" t="str">
        <f>_xlfn.XLOOKUP(C740,customers!$A:$A,customers!$G:$G,,0)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>
        <f>INDEX(products!$A$1:$G$49,MATCH(orders!$D740,products!$A$1:$A$49,0),MATCH(orders!K$1,products!$A$1:$G$1,0))</f>
        <v>0.2</v>
      </c>
      <c r="L740">
        <f>INDEX(products!$A$1:$G$49,MATCH(orders!$D740,products!$A$1:$A$49,0),MATCH(orders!L$1,products!$A$1:$G$1,0))</f>
        <v>3.5849999999999995</v>
      </c>
    </row>
    <row r="741" spans="1:12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>
        <f>IF(_xlfn.XLOOKUP(orders!C741,customers!$A:$A,customers!$C:$C,,0)=0,"",_xlfn.XLOOKUP(orders!C741,customers!$A:$A,customers!$C:$C,,0))</f>
        <v>jdymokeje@prnewswire.com</v>
      </c>
      <c r="H741" s="2" t="str">
        <f>_xlfn.XLOOKUP(C741,customers!$A:$A,customers!$G:$G,,0)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>
        <f>INDEX(products!$A$1:$G$49,MATCH(orders!$D741,products!$A$1:$A$49,0),MATCH(orders!K$1,products!$A$1:$G$1,0))</f>
        <v>0.2</v>
      </c>
      <c r="L741">
        <f>INDEX(products!$A$1:$G$49,MATCH(orders!$D741,products!$A$1:$A$49,0),MATCH(orders!L$1,products!$A$1:$G$1,0))</f>
        <v>3.645</v>
      </c>
    </row>
    <row r="742" spans="1:12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>
        <f>IF(_xlfn.XLOOKUP(orders!C742,customers!$A:$A,customers!$C:$C,,0)=0,"",_xlfn.XLOOKUP(orders!C742,customers!$A:$A,customers!$C:$C,,0))</f>
        <v>kcragellkk@google.com</v>
      </c>
      <c r="H742" s="2" t="str">
        <f>_xlfn.XLOOKUP(C742,customers!$A:$A,customers!$G:$G,,0)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>
        <f>INDEX(products!$A$1:$G$49,MATCH(orders!$D742,products!$A$1:$A$49,0),MATCH(orders!K$1,products!$A$1:$G$1,0))</f>
        <v>0.5</v>
      </c>
      <c r="L742">
        <f>INDEX(products!$A$1:$G$49,MATCH(orders!$D742,products!$A$1:$A$49,0),MATCH(orders!L$1,products!$A$1:$G$1,0))</f>
        <v>7.169999999999999</v>
      </c>
    </row>
    <row r="743" spans="1:12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>
        <f>IF(_xlfn.XLOOKUP(orders!C743,customers!$A:$A,customers!$C:$C,,0)=0,"",_xlfn.XLOOKUP(orders!C743,customers!$A:$A,customers!$C:$C,,0))</f>
        <v>libertkl@huffingtonpost.com</v>
      </c>
      <c r="H743" s="2" t="str">
        <f>_xlfn.XLOOKUP(C743,customers!$A:$A,customers!$G:$G,,0)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>
        <f>INDEX(products!$A$1:$G$49,MATCH(orders!$D743,products!$A$1:$A$49,0),MATCH(orders!K$1,products!$A$1:$G$1,0))</f>
        <v>0.2</v>
      </c>
      <c r="L743">
        <f>INDEX(products!$A$1:$G$49,MATCH(orders!$D743,products!$A$1:$A$49,0),MATCH(orders!L$1,products!$A$1:$G$1,0))</f>
        <v>4.3650000000000002</v>
      </c>
    </row>
    <row r="744" spans="1:12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>
        <f>IF(_xlfn.XLOOKUP(orders!C744,customers!$A:$A,customers!$C:$C,,0)=0,"",_xlfn.XLOOKUP(orders!C744,customers!$A:$A,customers!$C:$C,,0))</f>
        <v>rlidgeykm@vimeo.com</v>
      </c>
      <c r="H744" s="2" t="str">
        <f>_xlfn.XLOOKUP(C744,customers!$A:$A,customers!$G:$G,,0)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>
        <f>INDEX(products!$A$1:$G$49,MATCH(orders!$D744,products!$A$1:$A$49,0),MATCH(orders!K$1,products!$A$1:$G$1,0))</f>
        <v>1</v>
      </c>
      <c r="L744">
        <f>INDEX(products!$A$1:$G$49,MATCH(orders!$D744,products!$A$1:$A$49,0),MATCH(orders!L$1,products!$A$1:$G$1,0))</f>
        <v>14.55</v>
      </c>
    </row>
    <row r="745" spans="1:12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>
        <f>IF(_xlfn.XLOOKUP(orders!C745,customers!$A:$A,customers!$C:$C,,0)=0,"",_xlfn.XLOOKUP(orders!C745,customers!$A:$A,customers!$C:$C,,0))</f>
        <v>tcastagnekn@wikia.com</v>
      </c>
      <c r="H745" s="2" t="str">
        <f>_xlfn.XLOOKUP(C745,customers!$A:$A,customers!$G:$G,,0)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>
        <f>INDEX(products!$A$1:$G$49,MATCH(orders!$D745,products!$A$1:$A$49,0),MATCH(orders!K$1,products!$A$1:$G$1,0))</f>
        <v>0.5</v>
      </c>
      <c r="L745">
        <f>INDEX(products!$A$1:$G$49,MATCH(orders!$D745,products!$A$1:$A$49,0),MATCH(orders!L$1,products!$A$1:$G$1,0))</f>
        <v>5.97</v>
      </c>
    </row>
    <row r="746" spans="1:12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 t="str">
        <f>IF(_xlfn.XLOOKUP(orders!C746,customers!$A:$A,customers!$C:$C,,0)=0,"",_xlfn.XLOOKUP(orders!C746,customers!$A:$A,customers!$C:$C,,0))</f>
        <v/>
      </c>
      <c r="H746" s="2" t="str">
        <f>_xlfn.XLOOKUP(C746,customers!$A:$A,customers!$G:$G,,0)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>
        <f>INDEX(products!$A$1:$G$49,MATCH(orders!$D746,products!$A$1:$A$49,0),MATCH(orders!K$1,products!$A$1:$G$1,0))</f>
        <v>0.2</v>
      </c>
      <c r="L746">
        <f>INDEX(products!$A$1:$G$49,MATCH(orders!$D746,products!$A$1:$A$49,0),MATCH(orders!L$1,products!$A$1:$G$1,0))</f>
        <v>2.9849999999999999</v>
      </c>
    </row>
    <row r="747" spans="1:12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>
        <f>IF(_xlfn.XLOOKUP(orders!C747,customers!$A:$A,customers!$C:$C,,0)=0,"",_xlfn.XLOOKUP(orders!C747,customers!$A:$A,customers!$C:$C,,0))</f>
        <v>jhaldenkp@comcast.net</v>
      </c>
      <c r="H747" s="2" t="str">
        <f>_xlfn.XLOOKUP(C747,customers!$A:$A,customers!$G:$G,,0)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>
        <f>INDEX(products!$A$1:$G$49,MATCH(orders!$D747,products!$A$1:$A$49,0),MATCH(orders!K$1,products!$A$1:$G$1,0))</f>
        <v>0.5</v>
      </c>
      <c r="L747">
        <f>INDEX(products!$A$1:$G$49,MATCH(orders!$D747,products!$A$1:$A$49,0),MATCH(orders!L$1,products!$A$1:$G$1,0))</f>
        <v>7.29</v>
      </c>
    </row>
    <row r="748" spans="1:12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>
        <f>IF(_xlfn.XLOOKUP(orders!C748,customers!$A:$A,customers!$C:$C,,0)=0,"",_xlfn.XLOOKUP(orders!C748,customers!$A:$A,customers!$C:$C,,0))</f>
        <v>holliffkq@sciencedirect.com</v>
      </c>
      <c r="H748" s="2" t="str">
        <f>_xlfn.XLOOKUP(C748,customers!$A:$A,customers!$G:$G,,0)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>
        <f>INDEX(products!$A$1:$G$49,MATCH(orders!$D748,products!$A$1:$A$49,0),MATCH(orders!K$1,products!$A$1:$G$1,0))</f>
        <v>1</v>
      </c>
      <c r="L748">
        <f>INDEX(products!$A$1:$G$49,MATCH(orders!$D748,products!$A$1:$A$49,0),MATCH(orders!L$1,products!$A$1:$G$1,0))</f>
        <v>11.25</v>
      </c>
    </row>
    <row r="749" spans="1:12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>
        <f>IF(_xlfn.XLOOKUP(orders!C749,customers!$A:$A,customers!$C:$C,,0)=0,"",_xlfn.XLOOKUP(orders!C749,customers!$A:$A,customers!$C:$C,,0))</f>
        <v>tquadrikr@opensource.org</v>
      </c>
      <c r="H749" s="2" t="str">
        <f>_xlfn.XLOOKUP(C749,customers!$A:$A,customers!$G:$G,,0)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>
        <f>INDEX(products!$A$1:$G$49,MATCH(orders!$D749,products!$A$1:$A$49,0),MATCH(orders!K$1,products!$A$1:$G$1,0))</f>
        <v>0.5</v>
      </c>
      <c r="L749">
        <f>INDEX(products!$A$1:$G$49,MATCH(orders!$D749,products!$A$1:$A$49,0),MATCH(orders!L$1,products!$A$1:$G$1,0))</f>
        <v>8.73</v>
      </c>
    </row>
    <row r="750" spans="1:12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>
        <f>IF(_xlfn.XLOOKUP(orders!C750,customers!$A:$A,customers!$C:$C,,0)=0,"",_xlfn.XLOOKUP(orders!C750,customers!$A:$A,customers!$C:$C,,0))</f>
        <v>feshmadeks@umn.edu</v>
      </c>
      <c r="H750" s="2" t="str">
        <f>_xlfn.XLOOKUP(C750,customers!$A:$A,customers!$G:$G,,0)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>
        <f>INDEX(products!$A$1:$G$49,MATCH(orders!$D750,products!$A$1:$A$49,0),MATCH(orders!K$1,products!$A$1:$G$1,0))</f>
        <v>0.5</v>
      </c>
      <c r="L750">
        <f>INDEX(products!$A$1:$G$49,MATCH(orders!$D750,products!$A$1:$A$49,0),MATCH(orders!L$1,products!$A$1:$G$1,0))</f>
        <v>7.29</v>
      </c>
    </row>
    <row r="751" spans="1:12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>
        <f>IF(_xlfn.XLOOKUP(orders!C751,customers!$A:$A,customers!$C:$C,,0)=0,"",_xlfn.XLOOKUP(orders!C751,customers!$A:$A,customers!$C:$C,,0))</f>
        <v>moilierkt@paginegialle.it</v>
      </c>
      <c r="H751" s="2" t="str">
        <f>_xlfn.XLOOKUP(C751,customers!$A:$A,customers!$G:$G,,0)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>
        <f>INDEX(products!$A$1:$G$49,MATCH(orders!$D751,products!$A$1:$A$49,0),MATCH(orders!K$1,products!$A$1:$G$1,0))</f>
        <v>0.2</v>
      </c>
      <c r="L751">
        <f>INDEX(products!$A$1:$G$49,MATCH(orders!$D751,products!$A$1:$A$49,0),MATCH(orders!L$1,products!$A$1:$G$1,0))</f>
        <v>2.6849999999999996</v>
      </c>
    </row>
    <row r="752" spans="1:12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 t="str">
        <f>IF(_xlfn.XLOOKUP(orders!C752,customers!$A:$A,customers!$C:$C,,0)=0,"",_xlfn.XLOOKUP(orders!C752,customers!$A:$A,customers!$C:$C,,0))</f>
        <v/>
      </c>
      <c r="H752" s="2" t="str">
        <f>_xlfn.XLOOKUP(C752,customers!$A:$A,customers!$G:$G,,0)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>
        <f>INDEX(products!$A$1:$G$49,MATCH(orders!$D752,products!$A$1:$A$49,0),MATCH(orders!K$1,products!$A$1:$G$1,0))</f>
        <v>0.5</v>
      </c>
      <c r="L752">
        <f>INDEX(products!$A$1:$G$49,MATCH(orders!$D752,products!$A$1:$A$49,0),MATCH(orders!L$1,products!$A$1:$G$1,0))</f>
        <v>5.97</v>
      </c>
    </row>
    <row r="753" spans="1:12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>
        <f>IF(_xlfn.XLOOKUP(orders!C753,customers!$A:$A,customers!$C:$C,,0)=0,"",_xlfn.XLOOKUP(orders!C753,customers!$A:$A,customers!$C:$C,,0))</f>
        <v>vshoebothamkv@redcross.org</v>
      </c>
      <c r="H753" s="2" t="str">
        <f>_xlfn.XLOOKUP(C753,customers!$A:$A,customers!$G:$G,,0)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>
        <f>INDEX(products!$A$1:$G$49,MATCH(orders!$D753,products!$A$1:$A$49,0),MATCH(orders!K$1,products!$A$1:$G$1,0))</f>
        <v>0.5</v>
      </c>
      <c r="L753">
        <f>INDEX(products!$A$1:$G$49,MATCH(orders!$D753,products!$A$1:$A$49,0),MATCH(orders!L$1,products!$A$1:$G$1,0))</f>
        <v>9.51</v>
      </c>
    </row>
    <row r="754" spans="1:12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>
        <f>IF(_xlfn.XLOOKUP(orders!C754,customers!$A:$A,customers!$C:$C,,0)=0,"",_xlfn.XLOOKUP(orders!C754,customers!$A:$A,customers!$C:$C,,0))</f>
        <v>bsterkekw@biblegateway.com</v>
      </c>
      <c r="H754" s="2" t="str">
        <f>_xlfn.XLOOKUP(C754,customers!$A:$A,customers!$G:$G,,0)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>
        <f>INDEX(products!$A$1:$G$49,MATCH(orders!$D754,products!$A$1:$A$49,0),MATCH(orders!K$1,products!$A$1:$G$1,0))</f>
        <v>1</v>
      </c>
      <c r="L754">
        <f>INDEX(products!$A$1:$G$49,MATCH(orders!$D754,products!$A$1:$A$49,0),MATCH(orders!L$1,products!$A$1:$G$1,0))</f>
        <v>13.75</v>
      </c>
    </row>
    <row r="755" spans="1:12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>
        <f>IF(_xlfn.XLOOKUP(orders!C755,customers!$A:$A,customers!$C:$C,,0)=0,"",_xlfn.XLOOKUP(orders!C755,customers!$A:$A,customers!$C:$C,,0))</f>
        <v>scaponkx@craigslist.org</v>
      </c>
      <c r="H755" s="2" t="str">
        <f>_xlfn.XLOOKUP(C755,customers!$A:$A,customers!$G:$G,,0)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>
        <f>INDEX(products!$A$1:$G$49,MATCH(orders!$D755,products!$A$1:$A$49,0),MATCH(orders!K$1,products!$A$1:$G$1,0))</f>
        <v>0.5</v>
      </c>
      <c r="L755">
        <f>INDEX(products!$A$1:$G$49,MATCH(orders!$D755,products!$A$1:$A$49,0),MATCH(orders!L$1,products!$A$1:$G$1,0))</f>
        <v>5.97</v>
      </c>
    </row>
    <row r="756" spans="1:12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>
        <f>IF(_xlfn.XLOOKUP(orders!C756,customers!$A:$A,customers!$C:$C,,0)=0,"",_xlfn.XLOOKUP(orders!C756,customers!$A:$A,customers!$C:$C,,0))</f>
        <v>jdymokeje@prnewswire.com</v>
      </c>
      <c r="H756" s="2" t="str">
        <f>_xlfn.XLOOKUP(C756,customers!$A:$A,customers!$G:$G,,0)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>
        <f>INDEX(products!$A$1:$G$49,MATCH(orders!$D756,products!$A$1:$A$49,0),MATCH(orders!K$1,products!$A$1:$G$1,0))</f>
        <v>0.2</v>
      </c>
      <c r="L756">
        <f>INDEX(products!$A$1:$G$49,MATCH(orders!$D756,products!$A$1:$A$49,0),MATCH(orders!L$1,products!$A$1:$G$1,0))</f>
        <v>2.9849999999999999</v>
      </c>
    </row>
    <row r="757" spans="1:12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>
        <f>IF(_xlfn.XLOOKUP(orders!C757,customers!$A:$A,customers!$C:$C,,0)=0,"",_xlfn.XLOOKUP(orders!C757,customers!$A:$A,customers!$C:$C,,0))</f>
        <v>fconstancekz@ifeng.com</v>
      </c>
      <c r="H757" s="2" t="str">
        <f>_xlfn.XLOOKUP(C757,customers!$A:$A,customers!$G:$G,,0)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>
        <f>INDEX(products!$A$1:$G$49,MATCH(orders!$D757,products!$A$1:$A$49,0),MATCH(orders!K$1,products!$A$1:$G$1,0))</f>
        <v>0.2</v>
      </c>
      <c r="L757">
        <f>INDEX(products!$A$1:$G$49,MATCH(orders!$D757,products!$A$1:$A$49,0),MATCH(orders!L$1,products!$A$1:$G$1,0))</f>
        <v>4.7549999999999999</v>
      </c>
    </row>
    <row r="758" spans="1:12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>
        <f>IF(_xlfn.XLOOKUP(orders!C758,customers!$A:$A,customers!$C:$C,,0)=0,"",_xlfn.XLOOKUP(orders!C758,customers!$A:$A,customers!$C:$C,,0))</f>
        <v>fsulmanl0@washington.edu</v>
      </c>
      <c r="H758" s="2" t="str">
        <f>_xlfn.XLOOKUP(C758,customers!$A:$A,customers!$G:$G,,0)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>
        <f>INDEX(products!$A$1:$G$49,MATCH(orders!$D758,products!$A$1:$A$49,0),MATCH(orders!K$1,products!$A$1:$G$1,0))</f>
        <v>1</v>
      </c>
      <c r="L758">
        <f>INDEX(products!$A$1:$G$49,MATCH(orders!$D758,products!$A$1:$A$49,0),MATCH(orders!L$1,products!$A$1:$G$1,0))</f>
        <v>8.9499999999999993</v>
      </c>
    </row>
    <row r="759" spans="1:12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>
        <f>IF(_xlfn.XLOOKUP(orders!C759,customers!$A:$A,customers!$C:$C,,0)=0,"",_xlfn.XLOOKUP(orders!C759,customers!$A:$A,customers!$C:$C,,0))</f>
        <v>dhollymanl1@ibm.com</v>
      </c>
      <c r="H759" s="2" t="str">
        <f>_xlfn.XLOOKUP(C759,customers!$A:$A,customers!$G:$G,,0)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>
        <f>INDEX(products!$A$1:$G$49,MATCH(orders!$D759,products!$A$1:$A$49,0),MATCH(orders!K$1,products!$A$1:$G$1,0))</f>
        <v>0.5</v>
      </c>
      <c r="L759">
        <f>INDEX(products!$A$1:$G$49,MATCH(orders!$D759,products!$A$1:$A$49,0),MATCH(orders!L$1,products!$A$1:$G$1,0))</f>
        <v>5.97</v>
      </c>
    </row>
    <row r="760" spans="1:12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>
        <f>IF(_xlfn.XLOOKUP(orders!C760,customers!$A:$A,customers!$C:$C,,0)=0,"",_xlfn.XLOOKUP(orders!C760,customers!$A:$A,customers!$C:$C,,0))</f>
        <v>lnardonil2@hao123.com</v>
      </c>
      <c r="H760" s="2" t="str">
        <f>_xlfn.XLOOKUP(C760,customers!$A:$A,customers!$G:$G,,0)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>
        <f>INDEX(products!$A$1:$G$49,MATCH(orders!$D760,products!$A$1:$A$49,0),MATCH(orders!K$1,products!$A$1:$G$1,0))</f>
        <v>1</v>
      </c>
      <c r="L760">
        <f>INDEX(products!$A$1:$G$49,MATCH(orders!$D760,products!$A$1:$A$49,0),MATCH(orders!L$1,products!$A$1:$G$1,0))</f>
        <v>8.9499999999999993</v>
      </c>
    </row>
    <row r="761" spans="1:12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>
        <f>IF(_xlfn.XLOOKUP(orders!C761,customers!$A:$A,customers!$C:$C,,0)=0,"",_xlfn.XLOOKUP(orders!C761,customers!$A:$A,customers!$C:$C,,0))</f>
        <v>dyarhaml3@moonfruit.com</v>
      </c>
      <c r="H761" s="2" t="str">
        <f>_xlfn.XLOOKUP(C761,customers!$A:$A,customers!$G:$G,,0)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>
        <f>INDEX(products!$A$1:$G$49,MATCH(orders!$D761,products!$A$1:$A$49,0),MATCH(orders!K$1,products!$A$1:$G$1,0))</f>
        <v>2.5</v>
      </c>
      <c r="L761">
        <f>INDEX(products!$A$1:$G$49,MATCH(orders!$D761,products!$A$1:$A$49,0),MATCH(orders!L$1,products!$A$1:$G$1,0))</f>
        <v>29.784999999999997</v>
      </c>
    </row>
    <row r="762" spans="1:12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>
        <f>IF(_xlfn.XLOOKUP(orders!C762,customers!$A:$A,customers!$C:$C,,0)=0,"",_xlfn.XLOOKUP(orders!C762,customers!$A:$A,customers!$C:$C,,0))</f>
        <v>aferreal4@wikia.com</v>
      </c>
      <c r="H762" s="2" t="str">
        <f>_xlfn.XLOOKUP(C762,customers!$A:$A,customers!$G:$G,,0)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>
        <f>INDEX(products!$A$1:$G$49,MATCH(orders!$D762,products!$A$1:$A$49,0),MATCH(orders!K$1,products!$A$1:$G$1,0))</f>
        <v>0.5</v>
      </c>
      <c r="L762">
        <f>INDEX(products!$A$1:$G$49,MATCH(orders!$D762,products!$A$1:$A$49,0),MATCH(orders!L$1,products!$A$1:$G$1,0))</f>
        <v>8.91</v>
      </c>
    </row>
    <row r="763" spans="1:12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>
        <f>IF(_xlfn.XLOOKUP(orders!C763,customers!$A:$A,customers!$C:$C,,0)=0,"",_xlfn.XLOOKUP(orders!C763,customers!$A:$A,customers!$C:$C,,0))</f>
        <v>ckendrickl5@webnode.com</v>
      </c>
      <c r="H763" s="2" t="str">
        <f>_xlfn.XLOOKUP(C763,customers!$A:$A,customers!$G:$G,,0)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>
        <f>INDEX(products!$A$1:$G$49,MATCH(orders!$D763,products!$A$1:$A$49,0),MATCH(orders!K$1,products!$A$1:$G$1,0))</f>
        <v>1</v>
      </c>
      <c r="L763">
        <f>INDEX(products!$A$1:$G$49,MATCH(orders!$D763,products!$A$1:$A$49,0),MATCH(orders!L$1,products!$A$1:$G$1,0))</f>
        <v>14.85</v>
      </c>
    </row>
    <row r="764" spans="1:12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>
        <f>IF(_xlfn.XLOOKUP(orders!C764,customers!$A:$A,customers!$C:$C,,0)=0,"",_xlfn.XLOOKUP(orders!C764,customers!$A:$A,customers!$C:$C,,0))</f>
        <v>sdanilchikl6@mit.edu</v>
      </c>
      <c r="H764" s="2" t="str">
        <f>_xlfn.XLOOKUP(C764,customers!$A:$A,customers!$G:$G,,0)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>
        <f>INDEX(products!$A$1:$G$49,MATCH(orders!$D764,products!$A$1:$A$49,0),MATCH(orders!K$1,products!$A$1:$G$1,0))</f>
        <v>0.5</v>
      </c>
      <c r="L764">
        <f>INDEX(products!$A$1:$G$49,MATCH(orders!$D764,products!$A$1:$A$49,0),MATCH(orders!L$1,products!$A$1:$G$1,0))</f>
        <v>8.73</v>
      </c>
    </row>
    <row r="765" spans="1:12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 t="str">
        <f>IF(_xlfn.XLOOKUP(orders!C765,customers!$A:$A,customers!$C:$C,,0)=0,"",_xlfn.XLOOKUP(orders!C765,customers!$A:$A,customers!$C:$C,,0))</f>
        <v/>
      </c>
      <c r="H765" s="2" t="str">
        <f>_xlfn.XLOOKUP(C765,customers!$A:$A,customers!$G:$G,,0)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>
        <f>INDEX(products!$A$1:$G$49,MATCH(orders!$D765,products!$A$1:$A$49,0),MATCH(orders!K$1,products!$A$1:$G$1,0))</f>
        <v>0.5</v>
      </c>
      <c r="L765">
        <f>INDEX(products!$A$1:$G$49,MATCH(orders!$D765,products!$A$1:$A$49,0),MATCH(orders!L$1,products!$A$1:$G$1,0))</f>
        <v>7.77</v>
      </c>
    </row>
    <row r="766" spans="1:12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>
        <f>IF(_xlfn.XLOOKUP(orders!C766,customers!$A:$A,customers!$C:$C,,0)=0,"",_xlfn.XLOOKUP(orders!C766,customers!$A:$A,customers!$C:$C,,0))</f>
        <v>bfolomkinl8@yolasite.com</v>
      </c>
      <c r="H766" s="2" t="str">
        <f>_xlfn.XLOOKUP(C766,customers!$A:$A,customers!$G:$G,,0)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>
        <f>INDEX(products!$A$1:$G$49,MATCH(orders!$D766,products!$A$1:$A$49,0),MATCH(orders!K$1,products!$A$1:$G$1,0))</f>
        <v>2.5</v>
      </c>
      <c r="L766">
        <f>INDEX(products!$A$1:$G$49,MATCH(orders!$D766,products!$A$1:$A$49,0),MATCH(orders!L$1,products!$A$1:$G$1,0))</f>
        <v>29.784999999999997</v>
      </c>
    </row>
    <row r="767" spans="1:12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>
        <f>IF(_xlfn.XLOOKUP(orders!C767,customers!$A:$A,customers!$C:$C,,0)=0,"",_xlfn.XLOOKUP(orders!C767,customers!$A:$A,customers!$C:$C,,0))</f>
        <v>rpursglovel9@biblegateway.com</v>
      </c>
      <c r="H767" s="2" t="str">
        <f>_xlfn.XLOOKUP(C767,customers!$A:$A,customers!$G:$G,,0)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>
        <f>INDEX(products!$A$1:$G$49,MATCH(orders!$D767,products!$A$1:$A$49,0),MATCH(orders!K$1,products!$A$1:$G$1,0))</f>
        <v>1</v>
      </c>
      <c r="L767">
        <f>INDEX(products!$A$1:$G$49,MATCH(orders!$D767,products!$A$1:$A$49,0),MATCH(orders!L$1,products!$A$1:$G$1,0))</f>
        <v>9.9499999999999993</v>
      </c>
    </row>
    <row r="768" spans="1:12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>
        <f>IF(_xlfn.XLOOKUP(orders!C768,customers!$A:$A,customers!$C:$C,,0)=0,"",_xlfn.XLOOKUP(orders!C768,customers!$A:$A,customers!$C:$C,,0))</f>
        <v>rpursglovel9@biblegateway.com</v>
      </c>
      <c r="H768" s="2" t="str">
        <f>_xlfn.XLOOKUP(C768,customers!$A:$A,customers!$G:$G,,0)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>
        <f>INDEX(products!$A$1:$G$49,MATCH(orders!$D768,products!$A$1:$A$49,0),MATCH(orders!K$1,products!$A$1:$G$1,0))</f>
        <v>0.5</v>
      </c>
      <c r="L768">
        <f>INDEX(products!$A$1:$G$49,MATCH(orders!$D768,products!$A$1:$A$49,0),MATCH(orders!L$1,products!$A$1:$G$1,0))</f>
        <v>7.77</v>
      </c>
    </row>
    <row r="769" spans="1:12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>
        <f>IF(_xlfn.XLOOKUP(orders!C769,customers!$A:$A,customers!$C:$C,,0)=0,"",_xlfn.XLOOKUP(orders!C769,customers!$A:$A,customers!$C:$C,,0))</f>
        <v>fconstancekz@ifeng.com</v>
      </c>
      <c r="H769" s="2" t="str">
        <f>_xlfn.XLOOKUP(C769,customers!$A:$A,customers!$G:$G,,0)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>
        <f>INDEX(products!$A$1:$G$49,MATCH(orders!$D769,products!$A$1:$A$49,0),MATCH(orders!K$1,products!$A$1:$G$1,0))</f>
        <v>2.5</v>
      </c>
      <c r="L769">
        <f>INDEX(products!$A$1:$G$49,MATCH(orders!$D769,products!$A$1:$A$49,0),MATCH(orders!L$1,products!$A$1:$G$1,0))</f>
        <v>29.784999999999997</v>
      </c>
    </row>
    <row r="770" spans="1:12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>
        <f>IF(_xlfn.XLOOKUP(orders!C770,customers!$A:$A,customers!$C:$C,,0)=0,"",_xlfn.XLOOKUP(orders!C770,customers!$A:$A,customers!$C:$C,,0))</f>
        <v>fconstancekz@ifeng.com</v>
      </c>
      <c r="H770" s="2" t="str">
        <f>_xlfn.XLOOKUP(C770,customers!$A:$A,customers!$G:$G,,0)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>
        <f>INDEX(products!$A$1:$G$49,MATCH(orders!$D770,products!$A$1:$A$49,0),MATCH(orders!K$1,products!$A$1:$G$1,0))</f>
        <v>1</v>
      </c>
      <c r="L770">
        <f>INDEX(products!$A$1:$G$49,MATCH(orders!$D770,products!$A$1:$A$49,0),MATCH(orders!L$1,products!$A$1:$G$1,0))</f>
        <v>11.95</v>
      </c>
    </row>
    <row r="771" spans="1:12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>
        <f>IF(_xlfn.XLOOKUP(orders!C771,customers!$A:$A,customers!$C:$C,,0)=0,"",_xlfn.XLOOKUP(orders!C771,customers!$A:$A,customers!$C:$C,,0))</f>
        <v>deburahld@google.co.jp</v>
      </c>
      <c r="H771" s="2" t="str">
        <f>_xlfn.XLOOKUP(C771,customers!$A:$A,customers!$G:$G,,0)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>
        <f>INDEX(products!$A$1:$G$49,MATCH(orders!$D771,products!$A$1:$A$49,0),MATCH(orders!K$1,products!$A$1:$G$1,0))</f>
        <v>2.5</v>
      </c>
      <c r="L771">
        <f>INDEX(products!$A$1:$G$49,MATCH(orders!$D771,products!$A$1:$A$49,0),MATCH(orders!L$1,products!$A$1:$G$1,0))</f>
        <v>22.884999999999998</v>
      </c>
    </row>
    <row r="772" spans="1:12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>
        <f>IF(_xlfn.XLOOKUP(orders!C772,customers!$A:$A,customers!$C:$C,,0)=0,"",_xlfn.XLOOKUP(orders!C772,customers!$A:$A,customers!$C:$C,,0))</f>
        <v>mbrimilcombele@cnn.com</v>
      </c>
      <c r="H772" s="2" t="str">
        <f>_xlfn.XLOOKUP(C772,customers!$A:$A,customers!$G:$G,,0)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>
        <f>INDEX(products!$A$1:$G$49,MATCH(orders!$D772,products!$A$1:$A$49,0),MATCH(orders!K$1,products!$A$1:$G$1,0))</f>
        <v>1</v>
      </c>
      <c r="L772">
        <f>INDEX(products!$A$1:$G$49,MATCH(orders!$D772,products!$A$1:$A$49,0),MATCH(orders!L$1,products!$A$1:$G$1,0))</f>
        <v>9.9499999999999993</v>
      </c>
    </row>
    <row r="773" spans="1:12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>
        <f>IF(_xlfn.XLOOKUP(orders!C773,customers!$A:$A,customers!$C:$C,,0)=0,"",_xlfn.XLOOKUP(orders!C773,customers!$A:$A,customers!$C:$C,,0))</f>
        <v>sbollamlf@list-manage.com</v>
      </c>
      <c r="H773" s="2" t="str">
        <f>_xlfn.XLOOKUP(C773,customers!$A:$A,customers!$G:$G,,0)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>
        <f>INDEX(products!$A$1:$G$49,MATCH(orders!$D773,products!$A$1:$A$49,0),MATCH(orders!K$1,products!$A$1:$G$1,0))</f>
        <v>0.5</v>
      </c>
      <c r="L773">
        <f>INDEX(products!$A$1:$G$49,MATCH(orders!$D773,products!$A$1:$A$49,0),MATCH(orders!L$1,products!$A$1:$G$1,0))</f>
        <v>7.169999999999999</v>
      </c>
    </row>
    <row r="774" spans="1:12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 t="str">
        <f>IF(_xlfn.XLOOKUP(orders!C774,customers!$A:$A,customers!$C:$C,,0)=0,"",_xlfn.XLOOKUP(orders!C774,customers!$A:$A,customers!$C:$C,,0))</f>
        <v/>
      </c>
      <c r="H774" s="2" t="str">
        <f>_xlfn.XLOOKUP(C774,customers!$A:$A,customers!$G:$G,,0)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>
        <f>INDEX(products!$A$1:$G$49,MATCH(orders!$D774,products!$A$1:$A$49,0),MATCH(orders!K$1,products!$A$1:$G$1,0))</f>
        <v>1</v>
      </c>
      <c r="L774">
        <f>INDEX(products!$A$1:$G$49,MATCH(orders!$D774,products!$A$1:$A$49,0),MATCH(orders!L$1,products!$A$1:$G$1,0))</f>
        <v>13.75</v>
      </c>
    </row>
    <row r="775" spans="1:12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>
        <f>IF(_xlfn.XLOOKUP(orders!C775,customers!$A:$A,customers!$C:$C,,0)=0,"",_xlfn.XLOOKUP(orders!C775,customers!$A:$A,customers!$C:$C,,0))</f>
        <v>afilipczaklh@ning.com</v>
      </c>
      <c r="H775" s="2" t="str">
        <f>_xlfn.XLOOKUP(C775,customers!$A:$A,customers!$G:$G,,0)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>
        <f>INDEX(products!$A$1:$G$49,MATCH(orders!$D775,products!$A$1:$A$49,0),MATCH(orders!K$1,products!$A$1:$G$1,0))</f>
        <v>0.2</v>
      </c>
      <c r="L775">
        <f>INDEX(products!$A$1:$G$49,MATCH(orders!$D775,products!$A$1:$A$49,0),MATCH(orders!L$1,products!$A$1:$G$1,0))</f>
        <v>4.3650000000000002</v>
      </c>
    </row>
    <row r="776" spans="1:12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 t="str">
        <f>IF(_xlfn.XLOOKUP(orders!C776,customers!$A:$A,customers!$C:$C,,0)=0,"",_xlfn.XLOOKUP(orders!C776,customers!$A:$A,customers!$C:$C,,0))</f>
        <v/>
      </c>
      <c r="H776" s="2" t="str">
        <f>_xlfn.XLOOKUP(C776,customers!$A:$A,customers!$G:$G,,0)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>
        <f>INDEX(products!$A$1:$G$49,MATCH(orders!$D776,products!$A$1:$A$49,0),MATCH(orders!K$1,products!$A$1:$G$1,0))</f>
        <v>1</v>
      </c>
      <c r="L776">
        <f>INDEX(products!$A$1:$G$49,MATCH(orders!$D776,products!$A$1:$A$49,0),MATCH(orders!L$1,products!$A$1:$G$1,0))</f>
        <v>9.9499999999999993</v>
      </c>
    </row>
    <row r="777" spans="1:12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>
        <f>IF(_xlfn.XLOOKUP(orders!C777,customers!$A:$A,customers!$C:$C,,0)=0,"",_xlfn.XLOOKUP(orders!C777,customers!$A:$A,customers!$C:$C,,0))</f>
        <v>relnaughlj@comsenz.com</v>
      </c>
      <c r="H777" s="2" t="str">
        <f>_xlfn.XLOOKUP(C777,customers!$A:$A,customers!$G:$G,,0)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>
        <f>INDEX(products!$A$1:$G$49,MATCH(orders!$D777,products!$A$1:$A$49,0),MATCH(orders!K$1,products!$A$1:$G$1,0))</f>
        <v>0.5</v>
      </c>
      <c r="L777">
        <f>INDEX(products!$A$1:$G$49,MATCH(orders!$D777,products!$A$1:$A$49,0),MATCH(orders!L$1,products!$A$1:$G$1,0))</f>
        <v>8.91</v>
      </c>
    </row>
    <row r="778" spans="1:12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>
        <f>IF(_xlfn.XLOOKUP(orders!C778,customers!$A:$A,customers!$C:$C,,0)=0,"",_xlfn.XLOOKUP(orders!C778,customers!$A:$A,customers!$C:$C,,0))</f>
        <v>jdeehanlk@about.me</v>
      </c>
      <c r="H778" s="2" t="str">
        <f>_xlfn.XLOOKUP(C778,customers!$A:$A,customers!$G:$G,,0)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>
        <f>INDEX(products!$A$1:$G$49,MATCH(orders!$D778,products!$A$1:$A$49,0),MATCH(orders!K$1,products!$A$1:$G$1,0))</f>
        <v>0.5</v>
      </c>
      <c r="L778">
        <f>INDEX(products!$A$1:$G$49,MATCH(orders!$D778,products!$A$1:$A$49,0),MATCH(orders!L$1,products!$A$1:$G$1,0))</f>
        <v>6.75</v>
      </c>
    </row>
    <row r="779" spans="1:12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>
        <f>IF(_xlfn.XLOOKUP(orders!C779,customers!$A:$A,customers!$C:$C,,0)=0,"",_xlfn.XLOOKUP(orders!C779,customers!$A:$A,customers!$C:$C,,0))</f>
        <v>jedenll@e-recht24.de</v>
      </c>
      <c r="H779" s="2" t="str">
        <f>_xlfn.XLOOKUP(C779,customers!$A:$A,customers!$G:$G,,0)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>
        <f>INDEX(products!$A$1:$G$49,MATCH(orders!$D779,products!$A$1:$A$49,0),MATCH(orders!K$1,products!$A$1:$G$1,0))</f>
        <v>2.5</v>
      </c>
      <c r="L779">
        <f>INDEX(products!$A$1:$G$49,MATCH(orders!$D779,products!$A$1:$A$49,0),MATCH(orders!L$1,products!$A$1:$G$1,0))</f>
        <v>29.784999999999997</v>
      </c>
    </row>
    <row r="780" spans="1:12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>
        <f>IF(_xlfn.XLOOKUP(orders!C780,customers!$A:$A,customers!$C:$C,,0)=0,"",_xlfn.XLOOKUP(orders!C780,customers!$A:$A,customers!$C:$C,,0))</f>
        <v>cjewsterlu@moonfruit.com</v>
      </c>
      <c r="H780" s="2" t="str">
        <f>_xlfn.XLOOKUP(C780,customers!$A:$A,customers!$G:$G,,0)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>
        <f>INDEX(products!$A$1:$G$49,MATCH(orders!$D780,products!$A$1:$A$49,0),MATCH(orders!K$1,products!$A$1:$G$1,0))</f>
        <v>0.5</v>
      </c>
      <c r="L780">
        <f>INDEX(products!$A$1:$G$49,MATCH(orders!$D780,products!$A$1:$A$49,0),MATCH(orders!L$1,products!$A$1:$G$1,0))</f>
        <v>9.51</v>
      </c>
    </row>
    <row r="781" spans="1:12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>
        <f>IF(_xlfn.XLOOKUP(orders!C781,customers!$A:$A,customers!$C:$C,,0)=0,"",_xlfn.XLOOKUP(orders!C781,customers!$A:$A,customers!$C:$C,,0))</f>
        <v>usoutherdenln@hao123.com</v>
      </c>
      <c r="H781" s="2" t="str">
        <f>_xlfn.XLOOKUP(C781,customers!$A:$A,customers!$G:$G,,0)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>
        <f>INDEX(products!$A$1:$G$49,MATCH(orders!$D781,products!$A$1:$A$49,0),MATCH(orders!K$1,products!$A$1:$G$1,0))</f>
        <v>1</v>
      </c>
      <c r="L781">
        <f>INDEX(products!$A$1:$G$49,MATCH(orders!$D781,products!$A$1:$A$49,0),MATCH(orders!L$1,products!$A$1:$G$1,0))</f>
        <v>12.95</v>
      </c>
    </row>
    <row r="782" spans="1:12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 t="str">
        <f>IF(_xlfn.XLOOKUP(orders!C782,customers!$A:$A,customers!$C:$C,,0)=0,"",_xlfn.XLOOKUP(orders!C782,customers!$A:$A,customers!$C:$C,,0))</f>
        <v/>
      </c>
      <c r="H782" s="2" t="str">
        <f>_xlfn.XLOOKUP(C782,customers!$A:$A,customers!$G:$G,,0)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>
        <f>INDEX(products!$A$1:$G$49,MATCH(orders!$D782,products!$A$1:$A$49,0),MATCH(orders!K$1,products!$A$1:$G$1,0))</f>
        <v>1</v>
      </c>
      <c r="L782">
        <f>INDEX(products!$A$1:$G$49,MATCH(orders!$D782,products!$A$1:$A$49,0),MATCH(orders!L$1,products!$A$1:$G$1,0))</f>
        <v>13.75</v>
      </c>
    </row>
    <row r="783" spans="1:12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>
        <f>IF(_xlfn.XLOOKUP(orders!C783,customers!$A:$A,customers!$C:$C,,0)=0,"",_xlfn.XLOOKUP(orders!C783,customers!$A:$A,customers!$C:$C,,0))</f>
        <v>lburtenshawlp@shinystat.com</v>
      </c>
      <c r="H783" s="2" t="str">
        <f>_xlfn.XLOOKUP(C783,customers!$A:$A,customers!$G:$G,,0)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>
        <f>INDEX(products!$A$1:$G$49,MATCH(orders!$D783,products!$A$1:$A$49,0),MATCH(orders!K$1,products!$A$1:$G$1,0))</f>
        <v>2.5</v>
      </c>
      <c r="L783">
        <f>INDEX(products!$A$1:$G$49,MATCH(orders!$D783,products!$A$1:$A$49,0),MATCH(orders!L$1,products!$A$1:$G$1,0))</f>
        <v>36.454999999999998</v>
      </c>
    </row>
    <row r="784" spans="1:12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>
        <f>IF(_xlfn.XLOOKUP(orders!C784,customers!$A:$A,customers!$C:$C,,0)=0,"",_xlfn.XLOOKUP(orders!C784,customers!$A:$A,customers!$C:$C,,0))</f>
        <v>agregorattilq@vistaprint.com</v>
      </c>
      <c r="H784" s="2" t="str">
        <f>_xlfn.XLOOKUP(C784,customers!$A:$A,customers!$G:$G,,0)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>
        <f>INDEX(products!$A$1:$G$49,MATCH(orders!$D784,products!$A$1:$A$49,0),MATCH(orders!K$1,products!$A$1:$G$1,0))</f>
        <v>0.2</v>
      </c>
      <c r="L784">
        <f>INDEX(products!$A$1:$G$49,MATCH(orders!$D784,products!$A$1:$A$49,0),MATCH(orders!L$1,products!$A$1:$G$1,0))</f>
        <v>4.4550000000000001</v>
      </c>
    </row>
    <row r="785" spans="1:12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>
        <f>IF(_xlfn.XLOOKUP(orders!C785,customers!$A:$A,customers!$C:$C,,0)=0,"",_xlfn.XLOOKUP(orders!C785,customers!$A:$A,customers!$C:$C,,0))</f>
        <v>ccrosterlr@gov.uk</v>
      </c>
      <c r="H785" s="2" t="str">
        <f>_xlfn.XLOOKUP(C785,customers!$A:$A,customers!$G:$G,,0)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>
        <f>INDEX(products!$A$1:$G$49,MATCH(orders!$D785,products!$A$1:$A$49,0),MATCH(orders!K$1,products!$A$1:$G$1,0))</f>
        <v>0.5</v>
      </c>
      <c r="L785">
        <f>INDEX(products!$A$1:$G$49,MATCH(orders!$D785,products!$A$1:$A$49,0),MATCH(orders!L$1,products!$A$1:$G$1,0))</f>
        <v>8.73</v>
      </c>
    </row>
    <row r="786" spans="1:12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>
        <f>IF(_xlfn.XLOOKUP(orders!C786,customers!$A:$A,customers!$C:$C,,0)=0,"",_xlfn.XLOOKUP(orders!C786,customers!$A:$A,customers!$C:$C,,0))</f>
        <v>gwhiteheadls@hp.com</v>
      </c>
      <c r="H786" s="2" t="str">
        <f>_xlfn.XLOOKUP(C786,customers!$A:$A,customers!$G:$G,,0)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>
        <f>INDEX(products!$A$1:$G$49,MATCH(orders!$D786,products!$A$1:$A$49,0),MATCH(orders!K$1,products!$A$1:$G$1,0))</f>
        <v>1</v>
      </c>
      <c r="L786">
        <f>INDEX(products!$A$1:$G$49,MATCH(orders!$D786,products!$A$1:$A$49,0),MATCH(orders!L$1,products!$A$1:$G$1,0))</f>
        <v>15.85</v>
      </c>
    </row>
    <row r="787" spans="1:12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>
        <f>IF(_xlfn.XLOOKUP(orders!C787,customers!$A:$A,customers!$C:$C,,0)=0,"",_xlfn.XLOOKUP(orders!C787,customers!$A:$A,customers!$C:$C,,0))</f>
        <v>hjodrellelt@samsung.com</v>
      </c>
      <c r="H787" s="2" t="str">
        <f>_xlfn.XLOOKUP(C787,customers!$A:$A,customers!$G:$G,,0)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>
        <f>INDEX(products!$A$1:$G$49,MATCH(orders!$D787,products!$A$1:$A$49,0),MATCH(orders!K$1,products!$A$1:$G$1,0))</f>
        <v>2.5</v>
      </c>
      <c r="L787">
        <f>INDEX(products!$A$1:$G$49,MATCH(orders!$D787,products!$A$1:$A$49,0),MATCH(orders!L$1,products!$A$1:$G$1,0))</f>
        <v>22.884999999999998</v>
      </c>
    </row>
    <row r="788" spans="1:12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>
        <f>IF(_xlfn.XLOOKUP(orders!C788,customers!$A:$A,customers!$C:$C,,0)=0,"",_xlfn.XLOOKUP(orders!C788,customers!$A:$A,customers!$C:$C,,0))</f>
        <v>cjewsterlu@moonfruit.com</v>
      </c>
      <c r="H788" s="2" t="str">
        <f>_xlfn.XLOOKUP(C788,customers!$A:$A,customers!$G:$G,,0)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>
        <f>INDEX(products!$A$1:$G$49,MATCH(orders!$D788,products!$A$1:$A$49,0),MATCH(orders!K$1,products!$A$1:$G$1,0))</f>
        <v>2.5</v>
      </c>
      <c r="L788">
        <f>INDEX(products!$A$1:$G$49,MATCH(orders!$D788,products!$A$1:$A$49,0),MATCH(orders!L$1,products!$A$1:$G$1,0))</f>
        <v>27.945</v>
      </c>
    </row>
    <row r="789" spans="1:12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 t="str">
        <f>IF(_xlfn.XLOOKUP(orders!C789,customers!$A:$A,customers!$C:$C,,0)=0,"",_xlfn.XLOOKUP(orders!C789,customers!$A:$A,customers!$C:$C,,0))</f>
        <v/>
      </c>
      <c r="H789" s="2" t="str">
        <f>_xlfn.XLOOKUP(C789,customers!$A:$A,customers!$G:$G,,0)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>
        <f>INDEX(products!$A$1:$G$49,MATCH(orders!$D789,products!$A$1:$A$49,0),MATCH(orders!K$1,products!$A$1:$G$1,0))</f>
        <v>1</v>
      </c>
      <c r="L789">
        <f>INDEX(products!$A$1:$G$49,MATCH(orders!$D789,products!$A$1:$A$49,0),MATCH(orders!L$1,products!$A$1:$G$1,0))</f>
        <v>13.75</v>
      </c>
    </row>
    <row r="790" spans="1:12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>
        <f>IF(_xlfn.XLOOKUP(orders!C790,customers!$A:$A,customers!$C:$C,,0)=0,"",_xlfn.XLOOKUP(orders!C790,customers!$A:$A,customers!$C:$C,,0))</f>
        <v>knottramlw@odnoklassniki.ru</v>
      </c>
      <c r="H790" s="2" t="str">
        <f>_xlfn.XLOOKUP(C790,customers!$A:$A,customers!$G:$G,,0)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>
        <f>INDEX(products!$A$1:$G$49,MATCH(orders!$D790,products!$A$1:$A$49,0),MATCH(orders!K$1,products!$A$1:$G$1,0))</f>
        <v>2.5</v>
      </c>
      <c r="L790">
        <f>INDEX(products!$A$1:$G$49,MATCH(orders!$D790,products!$A$1:$A$49,0),MATCH(orders!L$1,products!$A$1:$G$1,0))</f>
        <v>22.884999999999998</v>
      </c>
    </row>
    <row r="791" spans="1:12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>
        <f>IF(_xlfn.XLOOKUP(orders!C791,customers!$A:$A,customers!$C:$C,,0)=0,"",_xlfn.XLOOKUP(orders!C791,customers!$A:$A,customers!$C:$C,,0))</f>
        <v>nbuneylx@jugem.jp</v>
      </c>
      <c r="H791" s="2" t="str">
        <f>_xlfn.XLOOKUP(C791,customers!$A:$A,customers!$G:$G,,0)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>
        <f>INDEX(products!$A$1:$G$49,MATCH(orders!$D791,products!$A$1:$A$49,0),MATCH(orders!K$1,products!$A$1:$G$1,0))</f>
        <v>1</v>
      </c>
      <c r="L791">
        <f>INDEX(products!$A$1:$G$49,MATCH(orders!$D791,products!$A$1:$A$49,0),MATCH(orders!L$1,products!$A$1:$G$1,0))</f>
        <v>12.95</v>
      </c>
    </row>
    <row r="792" spans="1:12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>
        <f>IF(_xlfn.XLOOKUP(orders!C792,customers!$A:$A,customers!$C:$C,,0)=0,"",_xlfn.XLOOKUP(orders!C792,customers!$A:$A,customers!$C:$C,,0))</f>
        <v>smcshealy@photobucket.com</v>
      </c>
      <c r="H792" s="2" t="str">
        <f>_xlfn.XLOOKUP(C792,customers!$A:$A,customers!$G:$G,,0)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>
        <f>INDEX(products!$A$1:$G$49,MATCH(orders!$D792,products!$A$1:$A$49,0),MATCH(orders!K$1,products!$A$1:$G$1,0))</f>
        <v>0.5</v>
      </c>
      <c r="L792">
        <f>INDEX(products!$A$1:$G$49,MATCH(orders!$D792,products!$A$1:$A$49,0),MATCH(orders!L$1,products!$A$1:$G$1,0))</f>
        <v>7.77</v>
      </c>
    </row>
    <row r="793" spans="1:12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>
        <f>IF(_xlfn.XLOOKUP(orders!C793,customers!$A:$A,customers!$C:$C,,0)=0,"",_xlfn.XLOOKUP(orders!C793,customers!$A:$A,customers!$C:$C,,0))</f>
        <v>khuddartlz@about.com</v>
      </c>
      <c r="H793" s="2" t="str">
        <f>_xlfn.XLOOKUP(C793,customers!$A:$A,customers!$G:$G,,0)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>
        <f>INDEX(products!$A$1:$G$49,MATCH(orders!$D793,products!$A$1:$A$49,0),MATCH(orders!K$1,products!$A$1:$G$1,0))</f>
        <v>0.2</v>
      </c>
      <c r="L793">
        <f>INDEX(products!$A$1:$G$49,MATCH(orders!$D793,products!$A$1:$A$49,0),MATCH(orders!L$1,products!$A$1:$G$1,0))</f>
        <v>4.7549999999999999</v>
      </c>
    </row>
    <row r="794" spans="1:12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>
        <f>IF(_xlfn.XLOOKUP(orders!C794,customers!$A:$A,customers!$C:$C,,0)=0,"",_xlfn.XLOOKUP(orders!C794,customers!$A:$A,customers!$C:$C,,0))</f>
        <v>jgippesm0@cloudflare.com</v>
      </c>
      <c r="H794" s="2" t="str">
        <f>_xlfn.XLOOKUP(C794,customers!$A:$A,customers!$G:$G,,0)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>
        <f>INDEX(products!$A$1:$G$49,MATCH(orders!$D794,products!$A$1:$A$49,0),MATCH(orders!K$1,products!$A$1:$G$1,0))</f>
        <v>0.5</v>
      </c>
      <c r="L794">
        <f>INDEX(products!$A$1:$G$49,MATCH(orders!$D794,products!$A$1:$A$49,0),MATCH(orders!L$1,products!$A$1:$G$1,0))</f>
        <v>8.73</v>
      </c>
    </row>
    <row r="795" spans="1:12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>
        <f>IF(_xlfn.XLOOKUP(orders!C795,customers!$A:$A,customers!$C:$C,,0)=0,"",_xlfn.XLOOKUP(orders!C795,customers!$A:$A,customers!$C:$C,,0))</f>
        <v>lwhittleseem1@e-recht24.de</v>
      </c>
      <c r="H795" s="2" t="str">
        <f>_xlfn.XLOOKUP(C795,customers!$A:$A,customers!$G:$G,,0)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>
        <f>INDEX(products!$A$1:$G$49,MATCH(orders!$D795,products!$A$1:$A$49,0),MATCH(orders!K$1,products!$A$1:$G$1,0))</f>
        <v>0.2</v>
      </c>
      <c r="L795">
        <f>INDEX(products!$A$1:$G$49,MATCH(orders!$D795,products!$A$1:$A$49,0),MATCH(orders!L$1,products!$A$1:$G$1,0))</f>
        <v>3.5849999999999995</v>
      </c>
    </row>
    <row r="796" spans="1:12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>
        <f>IF(_xlfn.XLOOKUP(orders!C796,customers!$A:$A,customers!$C:$C,,0)=0,"",_xlfn.XLOOKUP(orders!C796,customers!$A:$A,customers!$C:$C,,0))</f>
        <v>gtrengrovem2@elpais.com</v>
      </c>
      <c r="H796" s="2" t="str">
        <f>_xlfn.XLOOKUP(C796,customers!$A:$A,customers!$G:$G,,0)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>
        <f>INDEX(products!$A$1:$G$49,MATCH(orders!$D796,products!$A$1:$A$49,0),MATCH(orders!K$1,products!$A$1:$G$1,0))</f>
        <v>2.5</v>
      </c>
      <c r="L796">
        <f>INDEX(products!$A$1:$G$49,MATCH(orders!$D796,products!$A$1:$A$49,0),MATCH(orders!L$1,products!$A$1:$G$1,0))</f>
        <v>29.784999999999997</v>
      </c>
    </row>
    <row r="797" spans="1:12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>
        <f>IF(_xlfn.XLOOKUP(orders!C797,customers!$A:$A,customers!$C:$C,,0)=0,"",_xlfn.XLOOKUP(orders!C797,customers!$A:$A,customers!$C:$C,,0))</f>
        <v>wcalderom3@stumbleupon.com</v>
      </c>
      <c r="H797" s="2" t="str">
        <f>_xlfn.XLOOKUP(C797,customers!$A:$A,customers!$G:$G,,0)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>
        <f>INDEX(products!$A$1:$G$49,MATCH(orders!$D797,products!$A$1:$A$49,0),MATCH(orders!K$1,products!$A$1:$G$1,0))</f>
        <v>0.5</v>
      </c>
      <c r="L797">
        <f>INDEX(products!$A$1:$G$49,MATCH(orders!$D797,products!$A$1:$A$49,0),MATCH(orders!L$1,products!$A$1:$G$1,0))</f>
        <v>7.169999999999999</v>
      </c>
    </row>
    <row r="798" spans="1:12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 t="str">
        <f>IF(_xlfn.XLOOKUP(orders!C798,customers!$A:$A,customers!$C:$C,,0)=0,"",_xlfn.XLOOKUP(orders!C798,customers!$A:$A,customers!$C:$C,,0))</f>
        <v/>
      </c>
      <c r="H798" s="2" t="str">
        <f>_xlfn.XLOOKUP(C798,customers!$A:$A,customers!$G:$G,,0)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>
        <f>INDEX(products!$A$1:$G$49,MATCH(orders!$D798,products!$A$1:$A$49,0),MATCH(orders!K$1,products!$A$1:$G$1,0))</f>
        <v>0.5</v>
      </c>
      <c r="L798">
        <f>INDEX(products!$A$1:$G$49,MATCH(orders!$D798,products!$A$1:$A$49,0),MATCH(orders!L$1,products!$A$1:$G$1,0))</f>
        <v>9.51</v>
      </c>
    </row>
    <row r="799" spans="1:12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>
        <f>IF(_xlfn.XLOOKUP(orders!C799,customers!$A:$A,customers!$C:$C,,0)=0,"",_xlfn.XLOOKUP(orders!C799,customers!$A:$A,customers!$C:$C,,0))</f>
        <v>jkennicottm5@yahoo.co.jp</v>
      </c>
      <c r="H799" s="2" t="str">
        <f>_xlfn.XLOOKUP(C799,customers!$A:$A,customers!$G:$G,,0)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>
        <f>INDEX(products!$A$1:$G$49,MATCH(orders!$D799,products!$A$1:$A$49,0),MATCH(orders!K$1,products!$A$1:$G$1,0))</f>
        <v>0.5</v>
      </c>
      <c r="L799">
        <f>INDEX(products!$A$1:$G$49,MATCH(orders!$D799,products!$A$1:$A$49,0),MATCH(orders!L$1,products!$A$1:$G$1,0))</f>
        <v>7.77</v>
      </c>
    </row>
    <row r="800" spans="1:12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>
        <f>IF(_xlfn.XLOOKUP(orders!C800,customers!$A:$A,customers!$C:$C,,0)=0,"",_xlfn.XLOOKUP(orders!C800,customers!$A:$A,customers!$C:$C,,0))</f>
        <v>gruggenm6@nymag.com</v>
      </c>
      <c r="H800" s="2" t="str">
        <f>_xlfn.XLOOKUP(C800,customers!$A:$A,customers!$G:$G,,0)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>
        <f>INDEX(products!$A$1:$G$49,MATCH(orders!$D800,products!$A$1:$A$49,0),MATCH(orders!K$1,products!$A$1:$G$1,0))</f>
        <v>0.2</v>
      </c>
      <c r="L800">
        <f>INDEX(products!$A$1:$G$49,MATCH(orders!$D800,products!$A$1:$A$49,0),MATCH(orders!L$1,products!$A$1:$G$1,0))</f>
        <v>2.6849999999999996</v>
      </c>
    </row>
    <row r="801" spans="1:12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 t="str">
        <f>IF(_xlfn.XLOOKUP(orders!C801,customers!$A:$A,customers!$C:$C,,0)=0,"",_xlfn.XLOOKUP(orders!C801,customers!$A:$A,customers!$C:$C,,0))</f>
        <v/>
      </c>
      <c r="H801" s="2" t="str">
        <f>_xlfn.XLOOKUP(C801,customers!$A:$A,customers!$G:$G,,0)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>
        <f>INDEX(products!$A$1:$G$49,MATCH(orders!$D801,products!$A$1:$A$49,0),MATCH(orders!K$1,products!$A$1:$G$1,0))</f>
        <v>1</v>
      </c>
      <c r="L801">
        <f>INDEX(products!$A$1:$G$49,MATCH(orders!$D801,products!$A$1:$A$49,0),MATCH(orders!L$1,products!$A$1:$G$1,0))</f>
        <v>12.15</v>
      </c>
    </row>
    <row r="802" spans="1:12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>
        <f>IF(_xlfn.XLOOKUP(orders!C802,customers!$A:$A,customers!$C:$C,,0)=0,"",_xlfn.XLOOKUP(orders!C802,customers!$A:$A,customers!$C:$C,,0))</f>
        <v>mfrightm8@harvard.edu</v>
      </c>
      <c r="H802" s="2" t="str">
        <f>_xlfn.XLOOKUP(C802,customers!$A:$A,customers!$G:$G,,0)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>
        <f>INDEX(products!$A$1:$G$49,MATCH(orders!$D802,products!$A$1:$A$49,0),MATCH(orders!K$1,products!$A$1:$G$1,0))</f>
        <v>0.2</v>
      </c>
      <c r="L802">
        <f>INDEX(products!$A$1:$G$49,MATCH(orders!$D802,products!$A$1:$A$49,0),MATCH(orders!L$1,products!$A$1:$G$1,0))</f>
        <v>2.6849999999999996</v>
      </c>
    </row>
    <row r="803" spans="1:12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>
        <f>IF(_xlfn.XLOOKUP(orders!C803,customers!$A:$A,customers!$C:$C,,0)=0,"",_xlfn.XLOOKUP(orders!C803,customers!$A:$A,customers!$C:$C,,0))</f>
        <v>btartem9@aol.com</v>
      </c>
      <c r="H803" s="2" t="str">
        <f>_xlfn.XLOOKUP(C803,customers!$A:$A,customers!$G:$G,,0)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>
        <f>INDEX(products!$A$1:$G$49,MATCH(orders!$D803,products!$A$1:$A$49,0),MATCH(orders!K$1,products!$A$1:$G$1,0))</f>
        <v>2.5</v>
      </c>
      <c r="L803">
        <f>INDEX(products!$A$1:$G$49,MATCH(orders!$D803,products!$A$1:$A$49,0),MATCH(orders!L$1,products!$A$1:$G$1,0))</f>
        <v>20.584999999999997</v>
      </c>
    </row>
    <row r="804" spans="1:12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>
        <f>IF(_xlfn.XLOOKUP(orders!C804,customers!$A:$A,customers!$C:$C,,0)=0,"",_xlfn.XLOOKUP(orders!C804,customers!$A:$A,customers!$C:$C,,0))</f>
        <v>ckrzysztofiakma@skyrock.com</v>
      </c>
      <c r="H804" s="2" t="str">
        <f>_xlfn.XLOOKUP(C804,customers!$A:$A,customers!$G:$G,,0)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>
        <f>INDEX(products!$A$1:$G$49,MATCH(orders!$D804,products!$A$1:$A$49,0),MATCH(orders!K$1,products!$A$1:$G$1,0))</f>
        <v>0.2</v>
      </c>
      <c r="L804">
        <f>INDEX(products!$A$1:$G$49,MATCH(orders!$D804,products!$A$1:$A$49,0),MATCH(orders!L$1,products!$A$1:$G$1,0))</f>
        <v>2.6849999999999996</v>
      </c>
    </row>
    <row r="805" spans="1:12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>
        <f>IF(_xlfn.XLOOKUP(orders!C805,customers!$A:$A,customers!$C:$C,,0)=0,"",_xlfn.XLOOKUP(orders!C805,customers!$A:$A,customers!$C:$C,,0))</f>
        <v>dpenquetmb@diigo.com</v>
      </c>
      <c r="H805" s="2" t="str">
        <f>_xlfn.XLOOKUP(C805,customers!$A:$A,customers!$G:$G,,0)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>
        <f>INDEX(products!$A$1:$G$49,MATCH(orders!$D805,products!$A$1:$A$49,0),MATCH(orders!K$1,products!$A$1:$G$1,0))</f>
        <v>2.5</v>
      </c>
      <c r="L805">
        <f>INDEX(products!$A$1:$G$49,MATCH(orders!$D805,products!$A$1:$A$49,0),MATCH(orders!L$1,products!$A$1:$G$1,0))</f>
        <v>31.624999999999996</v>
      </c>
    </row>
    <row r="806" spans="1:12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 t="str">
        <f>IF(_xlfn.XLOOKUP(orders!C806,customers!$A:$A,customers!$C:$C,,0)=0,"",_xlfn.XLOOKUP(orders!C806,customers!$A:$A,customers!$C:$C,,0))</f>
        <v/>
      </c>
      <c r="H806" s="2" t="str">
        <f>_xlfn.XLOOKUP(C806,customers!$A:$A,customers!$G:$G,,0)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>
        <f>INDEX(products!$A$1:$G$49,MATCH(orders!$D806,products!$A$1:$A$49,0),MATCH(orders!K$1,products!$A$1:$G$1,0))</f>
        <v>1</v>
      </c>
      <c r="L806">
        <f>INDEX(products!$A$1:$G$49,MATCH(orders!$D806,products!$A$1:$A$49,0),MATCH(orders!L$1,products!$A$1:$G$1,0))</f>
        <v>11.95</v>
      </c>
    </row>
    <row r="807" spans="1:12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 t="str">
        <f>IF(_xlfn.XLOOKUP(orders!C807,customers!$A:$A,customers!$C:$C,,0)=0,"",_xlfn.XLOOKUP(orders!C807,customers!$A:$A,customers!$C:$C,,0))</f>
        <v/>
      </c>
      <c r="H807" s="2" t="str">
        <f>_xlfn.XLOOKUP(C807,customers!$A:$A,customers!$G:$G,,0)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>
        <f>INDEX(products!$A$1:$G$49,MATCH(orders!$D807,products!$A$1:$A$49,0),MATCH(orders!K$1,products!$A$1:$G$1,0))</f>
        <v>0.5</v>
      </c>
      <c r="L807">
        <f>INDEX(products!$A$1:$G$49,MATCH(orders!$D807,products!$A$1:$A$49,0),MATCH(orders!L$1,products!$A$1:$G$1,0))</f>
        <v>5.97</v>
      </c>
    </row>
    <row r="808" spans="1:12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 t="str">
        <f>IF(_xlfn.XLOOKUP(orders!C808,customers!$A:$A,customers!$C:$C,,0)=0,"",_xlfn.XLOOKUP(orders!C808,customers!$A:$A,customers!$C:$C,,0))</f>
        <v/>
      </c>
      <c r="H808" s="2" t="str">
        <f>_xlfn.XLOOKUP(C808,customers!$A:$A,customers!$G:$G,,0)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>
        <f>INDEX(products!$A$1:$G$49,MATCH(orders!$D808,products!$A$1:$A$49,0),MATCH(orders!K$1,products!$A$1:$G$1,0))</f>
        <v>0.2</v>
      </c>
      <c r="L808">
        <f>INDEX(products!$A$1:$G$49,MATCH(orders!$D808,products!$A$1:$A$49,0),MATCH(orders!L$1,products!$A$1:$G$1,0))</f>
        <v>3.8849999999999998</v>
      </c>
    </row>
    <row r="809" spans="1:12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>
        <f>IF(_xlfn.XLOOKUP(orders!C809,customers!$A:$A,customers!$C:$C,,0)=0,"",_xlfn.XLOOKUP(orders!C809,customers!$A:$A,customers!$C:$C,,0))</f>
        <v>kferrettimf@huffingtonpost.com</v>
      </c>
      <c r="H809" s="2" t="str">
        <f>_xlfn.XLOOKUP(C809,customers!$A:$A,customers!$G:$G,,0)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>
        <f>INDEX(products!$A$1:$G$49,MATCH(orders!$D809,products!$A$1:$A$49,0),MATCH(orders!K$1,products!$A$1:$G$1,0))</f>
        <v>0.5</v>
      </c>
      <c r="L809">
        <f>INDEX(products!$A$1:$G$49,MATCH(orders!$D809,products!$A$1:$A$49,0),MATCH(orders!L$1,products!$A$1:$G$1,0))</f>
        <v>7.77</v>
      </c>
    </row>
    <row r="810" spans="1:12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 t="str">
        <f>IF(_xlfn.XLOOKUP(orders!C810,customers!$A:$A,customers!$C:$C,,0)=0,"",_xlfn.XLOOKUP(orders!C810,customers!$A:$A,customers!$C:$C,,0))</f>
        <v/>
      </c>
      <c r="H810" s="2" t="str">
        <f>_xlfn.XLOOKUP(C810,customers!$A:$A,customers!$G:$G,,0)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>
        <f>INDEX(products!$A$1:$G$49,MATCH(orders!$D810,products!$A$1:$A$49,0),MATCH(orders!K$1,products!$A$1:$G$1,0))</f>
        <v>2.5</v>
      </c>
      <c r="L810">
        <f>INDEX(products!$A$1:$G$49,MATCH(orders!$D810,products!$A$1:$A$49,0),MATCH(orders!L$1,products!$A$1:$G$1,0))</f>
        <v>27.484999999999996</v>
      </c>
    </row>
    <row r="811" spans="1:12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 t="str">
        <f>IF(_xlfn.XLOOKUP(orders!C811,customers!$A:$A,customers!$C:$C,,0)=0,"",_xlfn.XLOOKUP(orders!C811,customers!$A:$A,customers!$C:$C,,0))</f>
        <v/>
      </c>
      <c r="H811" s="2" t="str">
        <f>_xlfn.XLOOKUP(C811,customers!$A:$A,customers!$G:$G,,0)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>
        <f>INDEX(products!$A$1:$G$49,MATCH(orders!$D811,products!$A$1:$A$49,0),MATCH(orders!K$1,products!$A$1:$G$1,0))</f>
        <v>0.2</v>
      </c>
      <c r="L811">
        <f>INDEX(products!$A$1:$G$49,MATCH(orders!$D811,products!$A$1:$A$49,0),MATCH(orders!L$1,products!$A$1:$G$1,0))</f>
        <v>2.6849999999999996</v>
      </c>
    </row>
    <row r="812" spans="1:12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>
        <f>IF(_xlfn.XLOOKUP(orders!C812,customers!$A:$A,customers!$C:$C,,0)=0,"",_xlfn.XLOOKUP(orders!C812,customers!$A:$A,customers!$C:$C,,0))</f>
        <v>abalsdonemi@toplist.cz</v>
      </c>
      <c r="H812" s="2" t="str">
        <f>_xlfn.XLOOKUP(C812,customers!$A:$A,customers!$G:$G,,0)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>
        <f>INDEX(products!$A$1:$G$49,MATCH(orders!$D812,products!$A$1:$A$49,0),MATCH(orders!K$1,products!$A$1:$G$1,0))</f>
        <v>0.5</v>
      </c>
      <c r="L812">
        <f>INDEX(products!$A$1:$G$49,MATCH(orders!$D812,products!$A$1:$A$49,0),MATCH(orders!L$1,products!$A$1:$G$1,0))</f>
        <v>9.51</v>
      </c>
    </row>
    <row r="813" spans="1:12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>
        <f>IF(_xlfn.XLOOKUP(orders!C813,customers!$A:$A,customers!$C:$C,,0)=0,"",_xlfn.XLOOKUP(orders!C813,customers!$A:$A,customers!$C:$C,,0))</f>
        <v>bromeramj@list-manage.com</v>
      </c>
      <c r="H813" s="2" t="str">
        <f>_xlfn.XLOOKUP(C813,customers!$A:$A,customers!$G:$G,,0)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>
        <f>INDEX(products!$A$1:$G$49,MATCH(orders!$D813,products!$A$1:$A$49,0),MATCH(orders!K$1,products!$A$1:$G$1,0))</f>
        <v>1</v>
      </c>
      <c r="L813">
        <f>INDEX(products!$A$1:$G$49,MATCH(orders!$D813,products!$A$1:$A$49,0),MATCH(orders!L$1,products!$A$1:$G$1,0))</f>
        <v>11.25</v>
      </c>
    </row>
    <row r="814" spans="1:12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>
        <f>IF(_xlfn.XLOOKUP(orders!C814,customers!$A:$A,customers!$C:$C,,0)=0,"",_xlfn.XLOOKUP(orders!C814,customers!$A:$A,customers!$C:$C,,0))</f>
        <v>bromeramj@list-manage.com</v>
      </c>
      <c r="H814" s="2" t="str">
        <f>_xlfn.XLOOKUP(C814,customers!$A:$A,customers!$G:$G,,0)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>
        <f>INDEX(products!$A$1:$G$49,MATCH(orders!$D814,products!$A$1:$A$49,0),MATCH(orders!K$1,products!$A$1:$G$1,0))</f>
        <v>2.5</v>
      </c>
      <c r="L814">
        <f>INDEX(products!$A$1:$G$49,MATCH(orders!$D814,products!$A$1:$A$49,0),MATCH(orders!L$1,products!$A$1:$G$1,0))</f>
        <v>29.784999999999997</v>
      </c>
    </row>
    <row r="815" spans="1:12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>
        <f>IF(_xlfn.XLOOKUP(orders!C815,customers!$A:$A,customers!$C:$C,,0)=0,"",_xlfn.XLOOKUP(orders!C815,customers!$A:$A,customers!$C:$C,,0))</f>
        <v>cbrydeml@tuttocitta.it</v>
      </c>
      <c r="H815" s="2" t="str">
        <f>_xlfn.XLOOKUP(C815,customers!$A:$A,customers!$G:$G,,0)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>
        <f>INDEX(products!$A$1:$G$49,MATCH(orders!$D815,products!$A$1:$A$49,0),MATCH(orders!K$1,products!$A$1:$G$1,0))</f>
        <v>2.5</v>
      </c>
      <c r="L815">
        <f>INDEX(products!$A$1:$G$49,MATCH(orders!$D815,products!$A$1:$A$49,0),MATCH(orders!L$1,products!$A$1:$G$1,0))</f>
        <v>31.624999999999996</v>
      </c>
    </row>
    <row r="816" spans="1:12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>
        <f>IF(_xlfn.XLOOKUP(orders!C816,customers!$A:$A,customers!$C:$C,,0)=0,"",_xlfn.XLOOKUP(orders!C816,customers!$A:$A,customers!$C:$C,,0))</f>
        <v>senefermm@blog.com</v>
      </c>
      <c r="H816" s="2" t="str">
        <f>_xlfn.XLOOKUP(C816,customers!$A:$A,customers!$G:$G,,0)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>
        <f>INDEX(products!$A$1:$G$49,MATCH(orders!$D816,products!$A$1:$A$49,0),MATCH(orders!K$1,products!$A$1:$G$1,0))</f>
        <v>0.2</v>
      </c>
      <c r="L816">
        <f>INDEX(products!$A$1:$G$49,MATCH(orders!$D816,products!$A$1:$A$49,0),MATCH(orders!L$1,products!$A$1:$G$1,0))</f>
        <v>4.4550000000000001</v>
      </c>
    </row>
    <row r="817" spans="1:12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>
        <f>IF(_xlfn.XLOOKUP(orders!C817,customers!$A:$A,customers!$C:$C,,0)=0,"",_xlfn.XLOOKUP(orders!C817,customers!$A:$A,customers!$C:$C,,0))</f>
        <v>lhaggerstonemn@independent.co.uk</v>
      </c>
      <c r="H817" s="2" t="str">
        <f>_xlfn.XLOOKUP(C817,customers!$A:$A,customers!$G:$G,,0)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>
        <f>INDEX(products!$A$1:$G$49,MATCH(orders!$D817,products!$A$1:$A$49,0),MATCH(orders!K$1,products!$A$1:$G$1,0))</f>
        <v>0.5</v>
      </c>
      <c r="L817">
        <f>INDEX(products!$A$1:$G$49,MATCH(orders!$D817,products!$A$1:$A$49,0),MATCH(orders!L$1,products!$A$1:$G$1,0))</f>
        <v>5.97</v>
      </c>
    </row>
    <row r="818" spans="1:12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>
        <f>IF(_xlfn.XLOOKUP(orders!C818,customers!$A:$A,customers!$C:$C,,0)=0,"",_xlfn.XLOOKUP(orders!C818,customers!$A:$A,customers!$C:$C,,0))</f>
        <v>mgundrymo@omniture.com</v>
      </c>
      <c r="H818" s="2" t="str">
        <f>_xlfn.XLOOKUP(C818,customers!$A:$A,customers!$G:$G,,0)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>
        <f>INDEX(products!$A$1:$G$49,MATCH(orders!$D818,products!$A$1:$A$49,0),MATCH(orders!K$1,products!$A$1:$G$1,0))</f>
        <v>0.5</v>
      </c>
      <c r="L818">
        <f>INDEX(products!$A$1:$G$49,MATCH(orders!$D818,products!$A$1:$A$49,0),MATCH(orders!L$1,products!$A$1:$G$1,0))</f>
        <v>9.51</v>
      </c>
    </row>
    <row r="819" spans="1:12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>
        <f>IF(_xlfn.XLOOKUP(orders!C819,customers!$A:$A,customers!$C:$C,,0)=0,"",_xlfn.XLOOKUP(orders!C819,customers!$A:$A,customers!$C:$C,,0))</f>
        <v>bwellanmp@cafepress.com</v>
      </c>
      <c r="H819" s="2" t="str">
        <f>_xlfn.XLOOKUP(C819,customers!$A:$A,customers!$G:$G,,0)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>
        <f>INDEX(products!$A$1:$G$49,MATCH(orders!$D819,products!$A$1:$A$49,0),MATCH(orders!K$1,products!$A$1:$G$1,0))</f>
        <v>0.5</v>
      </c>
      <c r="L819">
        <f>INDEX(products!$A$1:$G$49,MATCH(orders!$D819,products!$A$1:$A$49,0),MATCH(orders!L$1,products!$A$1:$G$1,0))</f>
        <v>7.77</v>
      </c>
    </row>
    <row r="820" spans="1:12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 t="str">
        <f>IF(_xlfn.XLOOKUP(orders!C820,customers!$A:$A,customers!$C:$C,,0)=0,"",_xlfn.XLOOKUP(orders!C820,customers!$A:$A,customers!$C:$C,,0))</f>
        <v/>
      </c>
      <c r="H820" s="2" t="str">
        <f>_xlfn.XLOOKUP(C820,customers!$A:$A,customers!$G:$G,,0)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>
        <f>INDEX(products!$A$1:$G$49,MATCH(orders!$D820,products!$A$1:$A$49,0),MATCH(orders!K$1,products!$A$1:$G$1,0))</f>
        <v>1</v>
      </c>
      <c r="L820">
        <f>INDEX(products!$A$1:$G$49,MATCH(orders!$D820,products!$A$1:$A$49,0),MATCH(orders!L$1,products!$A$1:$G$1,0))</f>
        <v>15.85</v>
      </c>
    </row>
    <row r="821" spans="1:12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>
        <f>IF(_xlfn.XLOOKUP(orders!C821,customers!$A:$A,customers!$C:$C,,0)=0,"",_xlfn.XLOOKUP(orders!C821,customers!$A:$A,customers!$C:$C,,0))</f>
        <v>catchesonmr@xinhuanet.com</v>
      </c>
      <c r="H821" s="2" t="str">
        <f>_xlfn.XLOOKUP(C821,customers!$A:$A,customers!$G:$G,,0)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>
        <f>INDEX(products!$A$1:$G$49,MATCH(orders!$D821,products!$A$1:$A$49,0),MATCH(orders!K$1,products!$A$1:$G$1,0))</f>
        <v>0.2</v>
      </c>
      <c r="L821">
        <f>INDEX(products!$A$1:$G$49,MATCH(orders!$D821,products!$A$1:$A$49,0),MATCH(orders!L$1,products!$A$1:$G$1,0))</f>
        <v>4.7549999999999999</v>
      </c>
    </row>
    <row r="822" spans="1:12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>
        <f>IF(_xlfn.XLOOKUP(orders!C822,customers!$A:$A,customers!$C:$C,,0)=0,"",_xlfn.XLOOKUP(orders!C822,customers!$A:$A,customers!$C:$C,,0))</f>
        <v>estentonms@google.it</v>
      </c>
      <c r="H822" s="2" t="str">
        <f>_xlfn.XLOOKUP(C822,customers!$A:$A,customers!$G:$G,,0)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>
        <f>INDEX(products!$A$1:$G$49,MATCH(orders!$D822,products!$A$1:$A$49,0),MATCH(orders!K$1,products!$A$1:$G$1,0))</f>
        <v>1</v>
      </c>
      <c r="L822">
        <f>INDEX(products!$A$1:$G$49,MATCH(orders!$D822,products!$A$1:$A$49,0),MATCH(orders!L$1,products!$A$1:$G$1,0))</f>
        <v>13.75</v>
      </c>
    </row>
    <row r="823" spans="1:12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>
        <f>IF(_xlfn.XLOOKUP(orders!C823,customers!$A:$A,customers!$C:$C,,0)=0,"",_xlfn.XLOOKUP(orders!C823,customers!$A:$A,customers!$C:$C,,0))</f>
        <v>etrippmt@wp.com</v>
      </c>
      <c r="H823" s="2" t="str">
        <f>_xlfn.XLOOKUP(C823,customers!$A:$A,customers!$G:$G,,0)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>
        <f>INDEX(products!$A$1:$G$49,MATCH(orders!$D823,products!$A$1:$A$49,0),MATCH(orders!K$1,products!$A$1:$G$1,0))</f>
        <v>0.5</v>
      </c>
      <c r="L823">
        <f>INDEX(products!$A$1:$G$49,MATCH(orders!$D823,products!$A$1:$A$49,0),MATCH(orders!L$1,products!$A$1:$G$1,0))</f>
        <v>5.3699999999999992</v>
      </c>
    </row>
    <row r="824" spans="1:12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>
        <f>IF(_xlfn.XLOOKUP(orders!C824,customers!$A:$A,customers!$C:$C,,0)=0,"",_xlfn.XLOOKUP(orders!C824,customers!$A:$A,customers!$C:$C,,0))</f>
        <v>lmacmanusmu@imdb.com</v>
      </c>
      <c r="H824" s="2" t="str">
        <f>_xlfn.XLOOKUP(C824,customers!$A:$A,customers!$G:$G,,0)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>
        <f>INDEX(products!$A$1:$G$49,MATCH(orders!$D824,products!$A$1:$A$49,0),MATCH(orders!K$1,products!$A$1:$G$1,0))</f>
        <v>2.5</v>
      </c>
      <c r="L824">
        <f>INDEX(products!$A$1:$G$49,MATCH(orders!$D824,products!$A$1:$A$49,0),MATCH(orders!L$1,products!$A$1:$G$1,0))</f>
        <v>34.154999999999994</v>
      </c>
    </row>
    <row r="825" spans="1:12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>
        <f>IF(_xlfn.XLOOKUP(orders!C825,customers!$A:$A,customers!$C:$C,,0)=0,"",_xlfn.XLOOKUP(orders!C825,customers!$A:$A,customers!$C:$C,,0))</f>
        <v>tbenediktovichmv@ebay.com</v>
      </c>
      <c r="H825" s="2" t="str">
        <f>_xlfn.XLOOKUP(C825,customers!$A:$A,customers!$G:$G,,0)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>
        <f>INDEX(products!$A$1:$G$49,MATCH(orders!$D825,products!$A$1:$A$49,0),MATCH(orders!K$1,products!$A$1:$G$1,0))</f>
        <v>1</v>
      </c>
      <c r="L825">
        <f>INDEX(products!$A$1:$G$49,MATCH(orders!$D825,products!$A$1:$A$49,0),MATCH(orders!L$1,products!$A$1:$G$1,0))</f>
        <v>15.85</v>
      </c>
    </row>
    <row r="826" spans="1:12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>
        <f>IF(_xlfn.XLOOKUP(orders!C826,customers!$A:$A,customers!$C:$C,,0)=0,"",_xlfn.XLOOKUP(orders!C826,customers!$A:$A,customers!$C:$C,,0))</f>
        <v>cbournermw@chronoengine.com</v>
      </c>
      <c r="H826" s="2" t="str">
        <f>_xlfn.XLOOKUP(C826,customers!$A:$A,customers!$G:$G,,0)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>
        <f>INDEX(products!$A$1:$G$49,MATCH(orders!$D826,products!$A$1:$A$49,0),MATCH(orders!K$1,products!$A$1:$G$1,0))</f>
        <v>0.2</v>
      </c>
      <c r="L826">
        <f>INDEX(products!$A$1:$G$49,MATCH(orders!$D826,products!$A$1:$A$49,0),MATCH(orders!L$1,products!$A$1:$G$1,0))</f>
        <v>3.375</v>
      </c>
    </row>
    <row r="827" spans="1:12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>
        <f>IF(_xlfn.XLOOKUP(orders!C827,customers!$A:$A,customers!$C:$C,,0)=0,"",_xlfn.XLOOKUP(orders!C827,customers!$A:$A,customers!$C:$C,,0))</f>
        <v>oskermen3@hatena.ne.jp</v>
      </c>
      <c r="H827" s="2" t="str">
        <f>_xlfn.XLOOKUP(C827,customers!$A:$A,customers!$G:$G,,0)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>
        <f>INDEX(products!$A$1:$G$49,MATCH(orders!$D827,products!$A$1:$A$49,0),MATCH(orders!K$1,products!$A$1:$G$1,0))</f>
        <v>1</v>
      </c>
      <c r="L827">
        <f>INDEX(products!$A$1:$G$49,MATCH(orders!$D827,products!$A$1:$A$49,0),MATCH(orders!L$1,products!$A$1:$G$1,0))</f>
        <v>9.9499999999999993</v>
      </c>
    </row>
    <row r="828" spans="1:12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>
        <f>IF(_xlfn.XLOOKUP(orders!C828,customers!$A:$A,customers!$C:$C,,0)=0,"",_xlfn.XLOOKUP(orders!C828,customers!$A:$A,customers!$C:$C,,0))</f>
        <v>kheddanmy@icq.com</v>
      </c>
      <c r="H828" s="2" t="str">
        <f>_xlfn.XLOOKUP(C828,customers!$A:$A,customers!$G:$G,,0)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>
        <f>INDEX(products!$A$1:$G$49,MATCH(orders!$D828,products!$A$1:$A$49,0),MATCH(orders!K$1,products!$A$1:$G$1,0))</f>
        <v>0.5</v>
      </c>
      <c r="L828">
        <f>INDEX(products!$A$1:$G$49,MATCH(orders!$D828,products!$A$1:$A$49,0),MATCH(orders!L$1,products!$A$1:$G$1,0))</f>
        <v>8.25</v>
      </c>
    </row>
    <row r="829" spans="1:12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>
        <f>IF(_xlfn.XLOOKUP(orders!C829,customers!$A:$A,customers!$C:$C,,0)=0,"",_xlfn.XLOOKUP(orders!C829,customers!$A:$A,customers!$C:$C,,0))</f>
        <v>ichartersmz@abc.net.au</v>
      </c>
      <c r="H829" s="2" t="str">
        <f>_xlfn.XLOOKUP(C829,customers!$A:$A,customers!$G:$G,,0)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>
        <f>INDEX(products!$A$1:$G$49,MATCH(orders!$D829,products!$A$1:$A$49,0),MATCH(orders!K$1,products!$A$1:$G$1,0))</f>
        <v>0.2</v>
      </c>
      <c r="L829">
        <f>INDEX(products!$A$1:$G$49,MATCH(orders!$D829,products!$A$1:$A$49,0),MATCH(orders!L$1,products!$A$1:$G$1,0))</f>
        <v>4.125</v>
      </c>
    </row>
    <row r="830" spans="1:12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>
        <f>IF(_xlfn.XLOOKUP(orders!C830,customers!$A:$A,customers!$C:$C,,0)=0,"",_xlfn.XLOOKUP(orders!C830,customers!$A:$A,customers!$C:$C,,0))</f>
        <v>aroubertn0@tmall.com</v>
      </c>
      <c r="H830" s="2" t="str">
        <f>_xlfn.XLOOKUP(C830,customers!$A:$A,customers!$G:$G,,0)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>
        <f>INDEX(products!$A$1:$G$49,MATCH(orders!$D830,products!$A$1:$A$49,0),MATCH(orders!K$1,products!$A$1:$G$1,0))</f>
        <v>2.5</v>
      </c>
      <c r="L830">
        <f>INDEX(products!$A$1:$G$49,MATCH(orders!$D830,products!$A$1:$A$49,0),MATCH(orders!L$1,products!$A$1:$G$1,0))</f>
        <v>22.884999999999998</v>
      </c>
    </row>
    <row r="831" spans="1:12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>
        <f>IF(_xlfn.XLOOKUP(orders!C831,customers!$A:$A,customers!$C:$C,,0)=0,"",_xlfn.XLOOKUP(orders!C831,customers!$A:$A,customers!$C:$C,,0))</f>
        <v>hmairsn1@so-net.ne.jp</v>
      </c>
      <c r="H831" s="2" t="str">
        <f>_xlfn.XLOOKUP(C831,customers!$A:$A,customers!$G:$G,,0)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>
        <f>INDEX(products!$A$1:$G$49,MATCH(orders!$D831,products!$A$1:$A$49,0),MATCH(orders!K$1,products!$A$1:$G$1,0))</f>
        <v>0.2</v>
      </c>
      <c r="L831">
        <f>INDEX(products!$A$1:$G$49,MATCH(orders!$D831,products!$A$1:$A$49,0),MATCH(orders!L$1,products!$A$1:$G$1,0))</f>
        <v>2.9849999999999999</v>
      </c>
    </row>
    <row r="832" spans="1:12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>
        <f>IF(_xlfn.XLOOKUP(orders!C832,customers!$A:$A,customers!$C:$C,,0)=0,"",_xlfn.XLOOKUP(orders!C832,customers!$A:$A,customers!$C:$C,,0))</f>
        <v>hrainforthn2@blog.com</v>
      </c>
      <c r="H832" s="2" t="str">
        <f>_xlfn.XLOOKUP(C832,customers!$A:$A,customers!$G:$G,,0)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>
        <f>INDEX(products!$A$1:$G$49,MATCH(orders!$D832,products!$A$1:$A$49,0),MATCH(orders!K$1,products!$A$1:$G$1,0))</f>
        <v>1</v>
      </c>
      <c r="L832">
        <f>INDEX(products!$A$1:$G$49,MATCH(orders!$D832,products!$A$1:$A$49,0),MATCH(orders!L$1,products!$A$1:$G$1,0))</f>
        <v>13.75</v>
      </c>
    </row>
    <row r="833" spans="1:12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>
        <f>IF(_xlfn.XLOOKUP(orders!C833,customers!$A:$A,customers!$C:$C,,0)=0,"",_xlfn.XLOOKUP(orders!C833,customers!$A:$A,customers!$C:$C,,0))</f>
        <v>hrainforthn2@blog.com</v>
      </c>
      <c r="H833" s="2" t="str">
        <f>_xlfn.XLOOKUP(C833,customers!$A:$A,customers!$G:$G,,0)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>
        <f>INDEX(products!$A$1:$G$49,MATCH(orders!$D833,products!$A$1:$A$49,0),MATCH(orders!K$1,products!$A$1:$G$1,0))</f>
        <v>0.2</v>
      </c>
      <c r="L833">
        <f>INDEX(products!$A$1:$G$49,MATCH(orders!$D833,products!$A$1:$A$49,0),MATCH(orders!L$1,products!$A$1:$G$1,0))</f>
        <v>2.9849999999999999</v>
      </c>
    </row>
    <row r="834" spans="1:12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>
        <f>IF(_xlfn.XLOOKUP(orders!C834,customers!$A:$A,customers!$C:$C,,0)=0,"",_xlfn.XLOOKUP(orders!C834,customers!$A:$A,customers!$C:$C,,0))</f>
        <v>ijespern4@theglobeandmail.com</v>
      </c>
      <c r="H834" s="2" t="str">
        <f>_xlfn.XLOOKUP(C834,customers!$A:$A,customers!$G:$G,,0)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>
        <f>INDEX(products!$A$1:$G$49,MATCH(orders!$D834,products!$A$1:$A$49,0),MATCH(orders!K$1,products!$A$1:$G$1,0))</f>
        <v>1</v>
      </c>
      <c r="L834">
        <f>INDEX(products!$A$1:$G$49,MATCH(orders!$D834,products!$A$1:$A$49,0),MATCH(orders!L$1,products!$A$1:$G$1,0))</f>
        <v>9.9499999999999993</v>
      </c>
    </row>
    <row r="835" spans="1:12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>
        <f>IF(_xlfn.XLOOKUP(orders!C835,customers!$A:$A,customers!$C:$C,,0)=0,"",_xlfn.XLOOKUP(orders!C835,customers!$A:$A,customers!$C:$C,,0))</f>
        <v>ldwerryhousen5@gravatar.com</v>
      </c>
      <c r="H835" s="2" t="str">
        <f>_xlfn.XLOOKUP(C835,customers!$A:$A,customers!$G:$G,,0)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>
        <f>INDEX(products!$A$1:$G$49,MATCH(orders!$D835,products!$A$1:$A$49,0),MATCH(orders!K$1,products!$A$1:$G$1,0))</f>
        <v>2.5</v>
      </c>
      <c r="L835">
        <f>INDEX(products!$A$1:$G$49,MATCH(orders!$D835,products!$A$1:$A$49,0),MATCH(orders!L$1,products!$A$1:$G$1,0))</f>
        <v>20.584999999999997</v>
      </c>
    </row>
    <row r="836" spans="1:12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>
        <f>IF(_xlfn.XLOOKUP(orders!C836,customers!$A:$A,customers!$C:$C,,0)=0,"",_xlfn.XLOOKUP(orders!C836,customers!$A:$A,customers!$C:$C,,0))</f>
        <v>nbroomern6@examiner.com</v>
      </c>
      <c r="H836" s="2" t="str">
        <f>_xlfn.XLOOKUP(C836,customers!$A:$A,customers!$G:$G,,0)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>
        <f>INDEX(products!$A$1:$G$49,MATCH(orders!$D836,products!$A$1:$A$49,0),MATCH(orders!K$1,products!$A$1:$G$1,0))</f>
        <v>2.5</v>
      </c>
      <c r="L836">
        <f>INDEX(products!$A$1:$G$49,MATCH(orders!$D836,products!$A$1:$A$49,0),MATCH(orders!L$1,products!$A$1:$G$1,0))</f>
        <v>22.884999999999998</v>
      </c>
    </row>
    <row r="837" spans="1:12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>
        <f>IF(_xlfn.XLOOKUP(orders!C837,customers!$A:$A,customers!$C:$C,,0)=0,"",_xlfn.XLOOKUP(orders!C837,customers!$A:$A,customers!$C:$C,,0))</f>
        <v>kthoumassonn7@bloglovin.com</v>
      </c>
      <c r="H837" s="2" t="str">
        <f>_xlfn.XLOOKUP(C837,customers!$A:$A,customers!$G:$G,,0)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>
        <f>INDEX(products!$A$1:$G$49,MATCH(orders!$D837,products!$A$1:$A$49,0),MATCH(orders!K$1,products!$A$1:$G$1,0))</f>
        <v>0.5</v>
      </c>
      <c r="L837">
        <f>INDEX(products!$A$1:$G$49,MATCH(orders!$D837,products!$A$1:$A$49,0),MATCH(orders!L$1,products!$A$1:$G$1,0))</f>
        <v>8.91</v>
      </c>
    </row>
    <row r="838" spans="1:12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>
        <f>IF(_xlfn.XLOOKUP(orders!C838,customers!$A:$A,customers!$C:$C,,0)=0,"",_xlfn.XLOOKUP(orders!C838,customers!$A:$A,customers!$C:$C,,0))</f>
        <v>fhabberghamn8@discovery.com</v>
      </c>
      <c r="H838" s="2" t="str">
        <f>_xlfn.XLOOKUP(C838,customers!$A:$A,customers!$G:$G,,0)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>
        <f>INDEX(products!$A$1:$G$49,MATCH(orders!$D838,products!$A$1:$A$49,0),MATCH(orders!K$1,products!$A$1:$G$1,0))</f>
        <v>0.2</v>
      </c>
      <c r="L838">
        <f>INDEX(products!$A$1:$G$49,MATCH(orders!$D838,products!$A$1:$A$49,0),MATCH(orders!L$1,products!$A$1:$G$1,0))</f>
        <v>2.9849999999999999</v>
      </c>
    </row>
    <row r="839" spans="1:12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 t="str">
        <f>IF(_xlfn.XLOOKUP(orders!C839,customers!$A:$A,customers!$C:$C,,0)=0,"",_xlfn.XLOOKUP(orders!C839,customers!$A:$A,customers!$C:$C,,0))</f>
        <v/>
      </c>
      <c r="H839" s="2" t="str">
        <f>_xlfn.XLOOKUP(C839,customers!$A:$A,customers!$G:$G,,0)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>
        <f>INDEX(products!$A$1:$G$49,MATCH(orders!$D839,products!$A$1:$A$49,0),MATCH(orders!K$1,products!$A$1:$G$1,0))</f>
        <v>2.5</v>
      </c>
      <c r="L839">
        <f>INDEX(products!$A$1:$G$49,MATCH(orders!$D839,products!$A$1:$A$49,0),MATCH(orders!L$1,products!$A$1:$G$1,0))</f>
        <v>33.464999999999996</v>
      </c>
    </row>
    <row r="840" spans="1:12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>
        <f>IF(_xlfn.XLOOKUP(orders!C840,customers!$A:$A,customers!$C:$C,,0)=0,"",_xlfn.XLOOKUP(orders!C840,customers!$A:$A,customers!$C:$C,,0))</f>
        <v>ravrashinna@tamu.edu</v>
      </c>
      <c r="H840" s="2" t="str">
        <f>_xlfn.XLOOKUP(C840,customers!$A:$A,customers!$G:$G,,0)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>
        <f>INDEX(products!$A$1:$G$49,MATCH(orders!$D840,products!$A$1:$A$49,0),MATCH(orders!K$1,products!$A$1:$G$1,0))</f>
        <v>2.5</v>
      </c>
      <c r="L840">
        <f>INDEX(products!$A$1:$G$49,MATCH(orders!$D840,products!$A$1:$A$49,0),MATCH(orders!L$1,products!$A$1:$G$1,0))</f>
        <v>22.884999999999998</v>
      </c>
    </row>
    <row r="841" spans="1:12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>
        <f>IF(_xlfn.XLOOKUP(orders!C841,customers!$A:$A,customers!$C:$C,,0)=0,"",_xlfn.XLOOKUP(orders!C841,customers!$A:$A,customers!$C:$C,,0))</f>
        <v>mdoidgenb@etsy.com</v>
      </c>
      <c r="H841" s="2" t="str">
        <f>_xlfn.XLOOKUP(C841,customers!$A:$A,customers!$G:$G,,0)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>
        <f>INDEX(products!$A$1:$G$49,MATCH(orders!$D841,products!$A$1:$A$49,0),MATCH(orders!K$1,products!$A$1:$G$1,0))</f>
        <v>0.5</v>
      </c>
      <c r="L841">
        <f>INDEX(products!$A$1:$G$49,MATCH(orders!$D841,products!$A$1:$A$49,0),MATCH(orders!L$1,products!$A$1:$G$1,0))</f>
        <v>8.25</v>
      </c>
    </row>
    <row r="842" spans="1:12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>
        <f>IF(_xlfn.XLOOKUP(orders!C842,customers!$A:$A,customers!$C:$C,,0)=0,"",_xlfn.XLOOKUP(orders!C842,customers!$A:$A,customers!$C:$C,,0))</f>
        <v>jedinboronc@reverbnation.com</v>
      </c>
      <c r="H842" s="2" t="str">
        <f>_xlfn.XLOOKUP(C842,customers!$A:$A,customers!$G:$G,,0)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>
        <f>INDEX(products!$A$1:$G$49,MATCH(orders!$D842,products!$A$1:$A$49,0),MATCH(orders!K$1,products!$A$1:$G$1,0))</f>
        <v>0.5</v>
      </c>
      <c r="L842">
        <f>INDEX(products!$A$1:$G$49,MATCH(orders!$D842,products!$A$1:$A$49,0),MATCH(orders!L$1,products!$A$1:$G$1,0))</f>
        <v>7.169999999999999</v>
      </c>
    </row>
    <row r="843" spans="1:12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>
        <f>IF(_xlfn.XLOOKUP(orders!C843,customers!$A:$A,customers!$C:$C,,0)=0,"",_xlfn.XLOOKUP(orders!C843,customers!$A:$A,customers!$C:$C,,0))</f>
        <v>ttewelsonnd@cdbaby.com</v>
      </c>
      <c r="H843" s="2" t="str">
        <f>_xlfn.XLOOKUP(C843,customers!$A:$A,customers!$G:$G,,0)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>
        <f>INDEX(products!$A$1:$G$49,MATCH(orders!$D843,products!$A$1:$A$49,0),MATCH(orders!K$1,products!$A$1:$G$1,0))</f>
        <v>0.2</v>
      </c>
      <c r="L843">
        <f>INDEX(products!$A$1:$G$49,MATCH(orders!$D843,products!$A$1:$A$49,0),MATCH(orders!L$1,products!$A$1:$G$1,0))</f>
        <v>4.3650000000000002</v>
      </c>
    </row>
    <row r="844" spans="1:12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>
        <f>IF(_xlfn.XLOOKUP(orders!C844,customers!$A:$A,customers!$C:$C,,0)=0,"",_xlfn.XLOOKUP(orders!C844,customers!$A:$A,customers!$C:$C,,0))</f>
        <v>oskermen3@hatena.ne.jp</v>
      </c>
      <c r="H844" s="2" t="str">
        <f>_xlfn.XLOOKUP(C844,customers!$A:$A,customers!$G:$G,,0)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>
        <f>INDEX(products!$A$1:$G$49,MATCH(orders!$D844,products!$A$1:$A$49,0),MATCH(orders!K$1,products!$A$1:$G$1,0))</f>
        <v>0.2</v>
      </c>
      <c r="L844">
        <f>INDEX(products!$A$1:$G$49,MATCH(orders!$D844,products!$A$1:$A$49,0),MATCH(orders!L$1,products!$A$1:$G$1,0))</f>
        <v>4.125</v>
      </c>
    </row>
    <row r="845" spans="1:12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>
        <f>IF(_xlfn.XLOOKUP(orders!C845,customers!$A:$A,customers!$C:$C,,0)=0,"",_xlfn.XLOOKUP(orders!C845,customers!$A:$A,customers!$C:$C,,0))</f>
        <v>ddrewittnf@mapquest.com</v>
      </c>
      <c r="H845" s="2" t="str">
        <f>_xlfn.XLOOKUP(C845,customers!$A:$A,customers!$G:$G,,0)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>
        <f>INDEX(products!$A$1:$G$49,MATCH(orders!$D845,products!$A$1:$A$49,0),MATCH(orders!K$1,products!$A$1:$G$1,0))</f>
        <v>0.2</v>
      </c>
      <c r="L845">
        <f>INDEX(products!$A$1:$G$49,MATCH(orders!$D845,products!$A$1:$A$49,0),MATCH(orders!L$1,products!$A$1:$G$1,0))</f>
        <v>4.125</v>
      </c>
    </row>
    <row r="846" spans="1:12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>
        <f>IF(_xlfn.XLOOKUP(orders!C846,customers!$A:$A,customers!$C:$C,,0)=0,"",_xlfn.XLOOKUP(orders!C846,customers!$A:$A,customers!$C:$C,,0))</f>
        <v>agladhillng@stanford.edu</v>
      </c>
      <c r="H846" s="2" t="str">
        <f>_xlfn.XLOOKUP(C846,customers!$A:$A,customers!$G:$G,,0)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>
        <f>INDEX(products!$A$1:$G$49,MATCH(orders!$D846,products!$A$1:$A$49,0),MATCH(orders!K$1,products!$A$1:$G$1,0))</f>
        <v>0.5</v>
      </c>
      <c r="L846">
        <f>INDEX(products!$A$1:$G$49,MATCH(orders!$D846,products!$A$1:$A$49,0),MATCH(orders!L$1,products!$A$1:$G$1,0))</f>
        <v>5.97</v>
      </c>
    </row>
    <row r="847" spans="1:12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>
        <f>IF(_xlfn.XLOOKUP(orders!C847,customers!$A:$A,customers!$C:$C,,0)=0,"",_xlfn.XLOOKUP(orders!C847,customers!$A:$A,customers!$C:$C,,0))</f>
        <v>mlorineznh@whitehouse.gov</v>
      </c>
      <c r="H847" s="2" t="str">
        <f>_xlfn.XLOOKUP(C847,customers!$A:$A,customers!$G:$G,,0)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>
        <f>INDEX(products!$A$1:$G$49,MATCH(orders!$D847,products!$A$1:$A$49,0),MATCH(orders!K$1,products!$A$1:$G$1,0))</f>
        <v>2.5</v>
      </c>
      <c r="L847">
        <f>INDEX(products!$A$1:$G$49,MATCH(orders!$D847,products!$A$1:$A$49,0),MATCH(orders!L$1,products!$A$1:$G$1,0))</f>
        <v>27.945</v>
      </c>
    </row>
    <row r="848" spans="1:12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 t="str">
        <f>IF(_xlfn.XLOOKUP(orders!C848,customers!$A:$A,customers!$C:$C,,0)=0,"",_xlfn.XLOOKUP(orders!C848,customers!$A:$A,customers!$C:$C,,0))</f>
        <v/>
      </c>
      <c r="H848" s="2" t="str">
        <f>_xlfn.XLOOKUP(C848,customers!$A:$A,customers!$G:$G,,0)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>
        <f>INDEX(products!$A$1:$G$49,MATCH(orders!$D848,products!$A$1:$A$49,0),MATCH(orders!K$1,products!$A$1:$G$1,0))</f>
        <v>2.5</v>
      </c>
      <c r="L848">
        <f>INDEX(products!$A$1:$G$49,MATCH(orders!$D848,products!$A$1:$A$49,0),MATCH(orders!L$1,products!$A$1:$G$1,0))</f>
        <v>25.874999999999996</v>
      </c>
    </row>
    <row r="849" spans="1:12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>
        <f>IF(_xlfn.XLOOKUP(orders!C849,customers!$A:$A,customers!$C:$C,,0)=0,"",_xlfn.XLOOKUP(orders!C849,customers!$A:$A,customers!$C:$C,,0))</f>
        <v>mvannj@wikipedia.org</v>
      </c>
      <c r="H849" s="2" t="str">
        <f>_xlfn.XLOOKUP(C849,customers!$A:$A,customers!$G:$G,,0)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>
        <f>INDEX(products!$A$1:$G$49,MATCH(orders!$D849,products!$A$1:$A$49,0),MATCH(orders!K$1,products!$A$1:$G$1,0))</f>
        <v>0.2</v>
      </c>
      <c r="L849">
        <f>INDEX(products!$A$1:$G$49,MATCH(orders!$D849,products!$A$1:$A$49,0),MATCH(orders!L$1,products!$A$1:$G$1,0))</f>
        <v>2.9849999999999999</v>
      </c>
    </row>
    <row r="850" spans="1:12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 t="str">
        <f>IF(_xlfn.XLOOKUP(orders!C850,customers!$A:$A,customers!$C:$C,,0)=0,"",_xlfn.XLOOKUP(orders!C850,customers!$A:$A,customers!$C:$C,,0))</f>
        <v/>
      </c>
      <c r="H850" s="2" t="str">
        <f>_xlfn.XLOOKUP(C850,customers!$A:$A,customers!$G:$G,,0)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>
        <f>INDEX(products!$A$1:$G$49,MATCH(orders!$D850,products!$A$1:$A$49,0),MATCH(orders!K$1,products!$A$1:$G$1,0))</f>
        <v>0.5</v>
      </c>
      <c r="L850">
        <f>INDEX(products!$A$1:$G$49,MATCH(orders!$D850,products!$A$1:$A$49,0),MATCH(orders!L$1,products!$A$1:$G$1,0))</f>
        <v>8.91</v>
      </c>
    </row>
    <row r="851" spans="1:12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>
        <f>IF(_xlfn.XLOOKUP(orders!C851,customers!$A:$A,customers!$C:$C,,0)=0,"",_xlfn.XLOOKUP(orders!C851,customers!$A:$A,customers!$C:$C,,0))</f>
        <v>jethelstonnl@creativecommons.org</v>
      </c>
      <c r="H851" s="2" t="str">
        <f>_xlfn.XLOOKUP(C851,customers!$A:$A,customers!$G:$G,,0)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>
        <f>INDEX(products!$A$1:$G$49,MATCH(orders!$D851,products!$A$1:$A$49,0),MATCH(orders!K$1,products!$A$1:$G$1,0))</f>
        <v>0.2</v>
      </c>
      <c r="L851">
        <f>INDEX(products!$A$1:$G$49,MATCH(orders!$D851,products!$A$1:$A$49,0),MATCH(orders!L$1,products!$A$1:$G$1,0))</f>
        <v>3.8849999999999998</v>
      </c>
    </row>
    <row r="852" spans="1:12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>
        <f>IF(_xlfn.XLOOKUP(orders!C852,customers!$A:$A,customers!$C:$C,,0)=0,"",_xlfn.XLOOKUP(orders!C852,customers!$A:$A,customers!$C:$C,,0))</f>
        <v>jethelstonnl@creativecommons.org</v>
      </c>
      <c r="H852" s="2" t="str">
        <f>_xlfn.XLOOKUP(C852,customers!$A:$A,customers!$G:$G,,0)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>
        <f>INDEX(products!$A$1:$G$49,MATCH(orders!$D852,products!$A$1:$A$49,0),MATCH(orders!K$1,products!$A$1:$G$1,0))</f>
        <v>0.2</v>
      </c>
      <c r="L852">
        <f>INDEX(products!$A$1:$G$49,MATCH(orders!$D852,products!$A$1:$A$49,0),MATCH(orders!L$1,products!$A$1:$G$1,0))</f>
        <v>3.375</v>
      </c>
    </row>
    <row r="853" spans="1:12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>
        <f>IF(_xlfn.XLOOKUP(orders!C853,customers!$A:$A,customers!$C:$C,,0)=0,"",_xlfn.XLOOKUP(orders!C853,customers!$A:$A,customers!$C:$C,,0))</f>
        <v>peberznn@woothemes.com</v>
      </c>
      <c r="H853" s="2" t="str">
        <f>_xlfn.XLOOKUP(C853,customers!$A:$A,customers!$G:$G,,0)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>
        <f>INDEX(products!$A$1:$G$49,MATCH(orders!$D853,products!$A$1:$A$49,0),MATCH(orders!K$1,products!$A$1:$G$1,0))</f>
        <v>0.5</v>
      </c>
      <c r="L853">
        <f>INDEX(products!$A$1:$G$49,MATCH(orders!$D853,products!$A$1:$A$49,0),MATCH(orders!L$1,products!$A$1:$G$1,0))</f>
        <v>7.77</v>
      </c>
    </row>
    <row r="854" spans="1:12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>
        <f>IF(_xlfn.XLOOKUP(orders!C854,customers!$A:$A,customers!$C:$C,,0)=0,"",_xlfn.XLOOKUP(orders!C854,customers!$A:$A,customers!$C:$C,,0))</f>
        <v>bgaishno@altervista.org</v>
      </c>
      <c r="H854" s="2" t="str">
        <f>_xlfn.XLOOKUP(C854,customers!$A:$A,customers!$G:$G,,0)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>
        <f>INDEX(products!$A$1:$G$49,MATCH(orders!$D854,products!$A$1:$A$49,0),MATCH(orders!K$1,products!$A$1:$G$1,0))</f>
        <v>2.5</v>
      </c>
      <c r="L854">
        <f>INDEX(products!$A$1:$G$49,MATCH(orders!$D854,products!$A$1:$A$49,0),MATCH(orders!L$1,products!$A$1:$G$1,0))</f>
        <v>29.784999999999997</v>
      </c>
    </row>
    <row r="855" spans="1:12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>
        <f>IF(_xlfn.XLOOKUP(orders!C855,customers!$A:$A,customers!$C:$C,,0)=0,"",_xlfn.XLOOKUP(orders!C855,customers!$A:$A,customers!$C:$C,,0))</f>
        <v>ldantonnp@miitbeian.gov.cn</v>
      </c>
      <c r="H855" s="2" t="str">
        <f>_xlfn.XLOOKUP(C855,customers!$A:$A,customers!$G:$G,,0)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>
        <f>INDEX(products!$A$1:$G$49,MATCH(orders!$D855,products!$A$1:$A$49,0),MATCH(orders!K$1,products!$A$1:$G$1,0))</f>
        <v>1</v>
      </c>
      <c r="L855">
        <f>INDEX(products!$A$1:$G$49,MATCH(orders!$D855,products!$A$1:$A$49,0),MATCH(orders!L$1,products!$A$1:$G$1,0))</f>
        <v>9.9499999999999993</v>
      </c>
    </row>
    <row r="856" spans="1:12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>
        <f>IF(_xlfn.XLOOKUP(orders!C856,customers!$A:$A,customers!$C:$C,,0)=0,"",_xlfn.XLOOKUP(orders!C856,customers!$A:$A,customers!$C:$C,,0))</f>
        <v>smorrallnq@answers.com</v>
      </c>
      <c r="H856" s="2" t="str">
        <f>_xlfn.XLOOKUP(C856,customers!$A:$A,customers!$G:$G,,0)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>
        <f>INDEX(products!$A$1:$G$49,MATCH(orders!$D856,products!$A$1:$A$49,0),MATCH(orders!K$1,products!$A$1:$G$1,0))</f>
        <v>0.5</v>
      </c>
      <c r="L856">
        <f>INDEX(products!$A$1:$G$49,MATCH(orders!$D856,products!$A$1:$A$49,0),MATCH(orders!L$1,products!$A$1:$G$1,0))</f>
        <v>7.169999999999999</v>
      </c>
    </row>
    <row r="857" spans="1:12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>
        <f>IF(_xlfn.XLOOKUP(orders!C857,customers!$A:$A,customers!$C:$C,,0)=0,"",_xlfn.XLOOKUP(orders!C857,customers!$A:$A,customers!$C:$C,,0))</f>
        <v>dcrownshawnr@photobucket.com</v>
      </c>
      <c r="H857" s="2" t="str">
        <f>_xlfn.XLOOKUP(C857,customers!$A:$A,customers!$G:$G,,0)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>
        <f>INDEX(products!$A$1:$G$49,MATCH(orders!$D857,products!$A$1:$A$49,0),MATCH(orders!K$1,products!$A$1:$G$1,0))</f>
        <v>2.5</v>
      </c>
      <c r="L857">
        <f>INDEX(products!$A$1:$G$49,MATCH(orders!$D857,products!$A$1:$A$49,0),MATCH(orders!L$1,products!$A$1:$G$1,0))</f>
        <v>29.784999999999997</v>
      </c>
    </row>
    <row r="858" spans="1:12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>
        <f>IF(_xlfn.XLOOKUP(orders!C858,customers!$A:$A,customers!$C:$C,,0)=0,"",_xlfn.XLOOKUP(orders!C858,customers!$A:$A,customers!$C:$C,,0))</f>
        <v>oskermen3@hatena.ne.jp</v>
      </c>
      <c r="H858" s="2" t="str">
        <f>_xlfn.XLOOKUP(C858,customers!$A:$A,customers!$G:$G,,0)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>
        <f>INDEX(products!$A$1:$G$49,MATCH(orders!$D858,products!$A$1:$A$49,0),MATCH(orders!K$1,products!$A$1:$G$1,0))</f>
        <v>0.2</v>
      </c>
      <c r="L858">
        <f>INDEX(products!$A$1:$G$49,MATCH(orders!$D858,products!$A$1:$A$49,0),MATCH(orders!L$1,products!$A$1:$G$1,0))</f>
        <v>4.3650000000000002</v>
      </c>
    </row>
    <row r="859" spans="1:12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>
        <f>IF(_xlfn.XLOOKUP(orders!C859,customers!$A:$A,customers!$C:$C,,0)=0,"",_xlfn.XLOOKUP(orders!C859,customers!$A:$A,customers!$C:$C,,0))</f>
        <v>jreddochnt@sun.com</v>
      </c>
      <c r="H859" s="2" t="str">
        <f>_xlfn.XLOOKUP(C859,customers!$A:$A,customers!$G:$G,,0)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>
        <f>INDEX(products!$A$1:$G$49,MATCH(orders!$D859,products!$A$1:$A$49,0),MATCH(orders!K$1,products!$A$1:$G$1,0))</f>
        <v>2.5</v>
      </c>
      <c r="L859">
        <f>INDEX(products!$A$1:$G$49,MATCH(orders!$D859,products!$A$1:$A$49,0),MATCH(orders!L$1,products!$A$1:$G$1,0))</f>
        <v>27.484999999999996</v>
      </c>
    </row>
    <row r="860" spans="1:12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>
        <f>IF(_xlfn.XLOOKUP(orders!C860,customers!$A:$A,customers!$C:$C,,0)=0,"",_xlfn.XLOOKUP(orders!C860,customers!$A:$A,customers!$C:$C,,0))</f>
        <v>stitleynu@whitehouse.gov</v>
      </c>
      <c r="H860" s="2" t="str">
        <f>_xlfn.XLOOKUP(C860,customers!$A:$A,customers!$G:$G,,0)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>
        <f>INDEX(products!$A$1:$G$49,MATCH(orders!$D860,products!$A$1:$A$49,0),MATCH(orders!K$1,products!$A$1:$G$1,0))</f>
        <v>0.5</v>
      </c>
      <c r="L860">
        <f>INDEX(products!$A$1:$G$49,MATCH(orders!$D860,products!$A$1:$A$49,0),MATCH(orders!L$1,products!$A$1:$G$1,0))</f>
        <v>8.73</v>
      </c>
    </row>
    <row r="861" spans="1:12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>
        <f>IF(_xlfn.XLOOKUP(orders!C861,customers!$A:$A,customers!$C:$C,,0)=0,"",_xlfn.XLOOKUP(orders!C861,customers!$A:$A,customers!$C:$C,,0))</f>
        <v>rsimaonv@simplemachines.org</v>
      </c>
      <c r="H861" s="2" t="str">
        <f>_xlfn.XLOOKUP(C861,customers!$A:$A,customers!$G:$G,,0)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>
        <f>INDEX(products!$A$1:$G$49,MATCH(orders!$D861,products!$A$1:$A$49,0),MATCH(orders!K$1,products!$A$1:$G$1,0))</f>
        <v>2.5</v>
      </c>
      <c r="L861">
        <f>INDEX(products!$A$1:$G$49,MATCH(orders!$D861,products!$A$1:$A$49,0),MATCH(orders!L$1,products!$A$1:$G$1,0))</f>
        <v>29.784999999999997</v>
      </c>
    </row>
    <row r="862" spans="1:12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 t="str">
        <f>IF(_xlfn.XLOOKUP(orders!C862,customers!$A:$A,customers!$C:$C,,0)=0,"",_xlfn.XLOOKUP(orders!C862,customers!$A:$A,customers!$C:$C,,0))</f>
        <v/>
      </c>
      <c r="H862" s="2" t="str">
        <f>_xlfn.XLOOKUP(C862,customers!$A:$A,customers!$G:$G,,0)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>
        <f>INDEX(products!$A$1:$G$49,MATCH(orders!$D862,products!$A$1:$A$49,0),MATCH(orders!K$1,products!$A$1:$G$1,0))</f>
        <v>2.5</v>
      </c>
      <c r="L862">
        <f>INDEX(products!$A$1:$G$49,MATCH(orders!$D862,products!$A$1:$A$49,0),MATCH(orders!L$1,products!$A$1:$G$1,0))</f>
        <v>25.874999999999996</v>
      </c>
    </row>
    <row r="863" spans="1:12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>
        <f>IF(_xlfn.XLOOKUP(orders!C863,customers!$A:$A,customers!$C:$C,,0)=0,"",_xlfn.XLOOKUP(orders!C863,customers!$A:$A,customers!$C:$C,,0))</f>
        <v>nchisholmnx@example.com</v>
      </c>
      <c r="H863" s="2" t="str">
        <f>_xlfn.XLOOKUP(C863,customers!$A:$A,customers!$G:$G,,0)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>
        <f>INDEX(products!$A$1:$G$49,MATCH(orders!$D863,products!$A$1:$A$49,0),MATCH(orders!K$1,products!$A$1:$G$1,0))</f>
        <v>1</v>
      </c>
      <c r="L863">
        <f>INDEX(products!$A$1:$G$49,MATCH(orders!$D863,products!$A$1:$A$49,0),MATCH(orders!L$1,products!$A$1:$G$1,0))</f>
        <v>12.95</v>
      </c>
    </row>
    <row r="864" spans="1:12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>
        <f>IF(_xlfn.XLOOKUP(orders!C864,customers!$A:$A,customers!$C:$C,,0)=0,"",_xlfn.XLOOKUP(orders!C864,customers!$A:$A,customers!$C:$C,,0))</f>
        <v>goatsny@live.com</v>
      </c>
      <c r="H864" s="2" t="str">
        <f>_xlfn.XLOOKUP(C864,customers!$A:$A,customers!$G:$G,,0)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>
        <f>INDEX(products!$A$1:$G$49,MATCH(orders!$D864,products!$A$1:$A$49,0),MATCH(orders!K$1,products!$A$1:$G$1,0))</f>
        <v>1</v>
      </c>
      <c r="L864">
        <f>INDEX(products!$A$1:$G$49,MATCH(orders!$D864,products!$A$1:$A$49,0),MATCH(orders!L$1,products!$A$1:$G$1,0))</f>
        <v>9.9499999999999993</v>
      </c>
    </row>
    <row r="865" spans="1:12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>
        <f>IF(_xlfn.XLOOKUP(orders!C865,customers!$A:$A,customers!$C:$C,,0)=0,"",_xlfn.XLOOKUP(orders!C865,customers!$A:$A,customers!$C:$C,,0))</f>
        <v>mbirkinnz@java.com</v>
      </c>
      <c r="H865" s="2" t="str">
        <f>_xlfn.XLOOKUP(C865,customers!$A:$A,customers!$G:$G,,0)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>
        <f>INDEX(products!$A$1:$G$49,MATCH(orders!$D865,products!$A$1:$A$49,0),MATCH(orders!K$1,products!$A$1:$G$1,0))</f>
        <v>1</v>
      </c>
      <c r="L865">
        <f>INDEX(products!$A$1:$G$49,MATCH(orders!$D865,products!$A$1:$A$49,0),MATCH(orders!L$1,products!$A$1:$G$1,0))</f>
        <v>14.55</v>
      </c>
    </row>
    <row r="866" spans="1:12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>
        <f>IF(_xlfn.XLOOKUP(orders!C866,customers!$A:$A,customers!$C:$C,,0)=0,"",_xlfn.XLOOKUP(orders!C866,customers!$A:$A,customers!$C:$C,,0))</f>
        <v>rpysono0@constantcontact.com</v>
      </c>
      <c r="H866" s="2" t="str">
        <f>_xlfn.XLOOKUP(C866,customers!$A:$A,customers!$G:$G,,0)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>
        <f>INDEX(products!$A$1:$G$49,MATCH(orders!$D866,products!$A$1:$A$49,0),MATCH(orders!K$1,products!$A$1:$G$1,0))</f>
        <v>0.2</v>
      </c>
      <c r="L866">
        <f>INDEX(products!$A$1:$G$49,MATCH(orders!$D866,products!$A$1:$A$49,0),MATCH(orders!L$1,products!$A$1:$G$1,0))</f>
        <v>3.5849999999999995</v>
      </c>
    </row>
    <row r="867" spans="1:12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>
        <f>IF(_xlfn.XLOOKUP(orders!C867,customers!$A:$A,customers!$C:$C,,0)=0,"",_xlfn.XLOOKUP(orders!C867,customers!$A:$A,customers!$C:$C,,0))</f>
        <v>mmacconnechieo9@reuters.com</v>
      </c>
      <c r="H867" s="2" t="str">
        <f>_xlfn.XLOOKUP(C867,customers!$A:$A,customers!$G:$G,,0)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>
        <f>INDEX(products!$A$1:$G$49,MATCH(orders!$D867,products!$A$1:$A$49,0),MATCH(orders!K$1,products!$A$1:$G$1,0))</f>
        <v>0.5</v>
      </c>
      <c r="L867">
        <f>INDEX(products!$A$1:$G$49,MATCH(orders!$D867,products!$A$1:$A$49,0),MATCH(orders!L$1,products!$A$1:$G$1,0))</f>
        <v>6.75</v>
      </c>
    </row>
    <row r="868" spans="1:12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>
        <f>IF(_xlfn.XLOOKUP(orders!C868,customers!$A:$A,customers!$C:$C,,0)=0,"",_xlfn.XLOOKUP(orders!C868,customers!$A:$A,customers!$C:$C,,0))</f>
        <v>rtreachero2@usa.gov</v>
      </c>
      <c r="H868" s="2" t="str">
        <f>_xlfn.XLOOKUP(C868,customers!$A:$A,customers!$G:$G,,0)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>
        <f>INDEX(products!$A$1:$G$49,MATCH(orders!$D868,products!$A$1:$A$49,0),MATCH(orders!K$1,products!$A$1:$G$1,0))</f>
        <v>0.5</v>
      </c>
      <c r="L868">
        <f>INDEX(products!$A$1:$G$49,MATCH(orders!$D868,products!$A$1:$A$49,0),MATCH(orders!L$1,products!$A$1:$G$1,0))</f>
        <v>5.97</v>
      </c>
    </row>
    <row r="869" spans="1:12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>
        <f>IF(_xlfn.XLOOKUP(orders!C869,customers!$A:$A,customers!$C:$C,,0)=0,"",_xlfn.XLOOKUP(orders!C869,customers!$A:$A,customers!$C:$C,,0))</f>
        <v>bfattorinio3@quantcast.com</v>
      </c>
      <c r="H869" s="2" t="str">
        <f>_xlfn.XLOOKUP(C869,customers!$A:$A,customers!$G:$G,,0)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>
        <f>INDEX(products!$A$1:$G$49,MATCH(orders!$D869,products!$A$1:$A$49,0),MATCH(orders!K$1,products!$A$1:$G$1,0))</f>
        <v>2.5</v>
      </c>
      <c r="L869">
        <f>INDEX(products!$A$1:$G$49,MATCH(orders!$D869,products!$A$1:$A$49,0),MATCH(orders!L$1,products!$A$1:$G$1,0))</f>
        <v>29.784999999999997</v>
      </c>
    </row>
    <row r="870" spans="1:12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>
        <f>IF(_xlfn.XLOOKUP(orders!C870,customers!$A:$A,customers!$C:$C,,0)=0,"",_xlfn.XLOOKUP(orders!C870,customers!$A:$A,customers!$C:$C,,0))</f>
        <v>mpalleskeo4@nyu.edu</v>
      </c>
      <c r="H870" s="2" t="str">
        <f>_xlfn.XLOOKUP(C870,customers!$A:$A,customers!$G:$G,,0)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>
        <f>INDEX(products!$A$1:$G$49,MATCH(orders!$D870,products!$A$1:$A$49,0),MATCH(orders!K$1,products!$A$1:$G$1,0))</f>
        <v>0.5</v>
      </c>
      <c r="L870">
        <f>INDEX(products!$A$1:$G$49,MATCH(orders!$D870,products!$A$1:$A$49,0),MATCH(orders!L$1,products!$A$1:$G$1,0))</f>
        <v>8.25</v>
      </c>
    </row>
    <row r="871" spans="1:12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 t="str">
        <f>IF(_xlfn.XLOOKUP(orders!C871,customers!$A:$A,customers!$C:$C,,0)=0,"",_xlfn.XLOOKUP(orders!C871,customers!$A:$A,customers!$C:$C,,0))</f>
        <v/>
      </c>
      <c r="H871" s="2" t="str">
        <f>_xlfn.XLOOKUP(C871,customers!$A:$A,customers!$G:$G,,0)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>
        <f>INDEX(products!$A$1:$G$49,MATCH(orders!$D871,products!$A$1:$A$49,0),MATCH(orders!K$1,products!$A$1:$G$1,0))</f>
        <v>0.5</v>
      </c>
      <c r="L871">
        <f>INDEX(products!$A$1:$G$49,MATCH(orders!$D871,products!$A$1:$A$49,0),MATCH(orders!L$1,products!$A$1:$G$1,0))</f>
        <v>5.97</v>
      </c>
    </row>
    <row r="872" spans="1:12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>
        <f>IF(_xlfn.XLOOKUP(orders!C872,customers!$A:$A,customers!$C:$C,,0)=0,"",_xlfn.XLOOKUP(orders!C872,customers!$A:$A,customers!$C:$C,,0))</f>
        <v>fantcliffeo6@amazon.co.jp</v>
      </c>
      <c r="H872" s="2" t="str">
        <f>_xlfn.XLOOKUP(C872,customers!$A:$A,customers!$G:$G,,0)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>
        <f>INDEX(products!$A$1:$G$49,MATCH(orders!$D872,products!$A$1:$A$49,0),MATCH(orders!K$1,products!$A$1:$G$1,0))</f>
        <v>0.5</v>
      </c>
      <c r="L872">
        <f>INDEX(products!$A$1:$G$49,MATCH(orders!$D872,products!$A$1:$A$49,0),MATCH(orders!L$1,products!$A$1:$G$1,0))</f>
        <v>7.29</v>
      </c>
    </row>
    <row r="873" spans="1:12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>
        <f>IF(_xlfn.XLOOKUP(orders!C873,customers!$A:$A,customers!$C:$C,,0)=0,"",_xlfn.XLOOKUP(orders!C873,customers!$A:$A,customers!$C:$C,,0))</f>
        <v>pmatignono7@harvard.edu</v>
      </c>
      <c r="H873" s="2" t="str">
        <f>_xlfn.XLOOKUP(C873,customers!$A:$A,customers!$G:$G,,0)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>
        <f>INDEX(products!$A$1:$G$49,MATCH(orders!$D873,products!$A$1:$A$49,0),MATCH(orders!K$1,products!$A$1:$G$1,0))</f>
        <v>1</v>
      </c>
      <c r="L873">
        <f>INDEX(products!$A$1:$G$49,MATCH(orders!$D873,products!$A$1:$A$49,0),MATCH(orders!L$1,products!$A$1:$G$1,0))</f>
        <v>14.85</v>
      </c>
    </row>
    <row r="874" spans="1:12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>
        <f>IF(_xlfn.XLOOKUP(orders!C874,customers!$A:$A,customers!$C:$C,,0)=0,"",_xlfn.XLOOKUP(orders!C874,customers!$A:$A,customers!$C:$C,,0))</f>
        <v>cweondo8@theglobeandmail.com</v>
      </c>
      <c r="H874" s="2" t="str">
        <f>_xlfn.XLOOKUP(C874,customers!$A:$A,customers!$G:$G,,0)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>
        <f>INDEX(products!$A$1:$G$49,MATCH(orders!$D874,products!$A$1:$A$49,0),MATCH(orders!K$1,products!$A$1:$G$1,0))</f>
        <v>1</v>
      </c>
      <c r="L874">
        <f>INDEX(products!$A$1:$G$49,MATCH(orders!$D874,products!$A$1:$A$49,0),MATCH(orders!L$1,products!$A$1:$G$1,0))</f>
        <v>11.25</v>
      </c>
    </row>
    <row r="875" spans="1:12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>
        <f>IF(_xlfn.XLOOKUP(orders!C875,customers!$A:$A,customers!$C:$C,,0)=0,"",_xlfn.XLOOKUP(orders!C875,customers!$A:$A,customers!$C:$C,,0))</f>
        <v>mmacconnechieo9@reuters.com</v>
      </c>
      <c r="H875" s="2" t="str">
        <f>_xlfn.XLOOKUP(C875,customers!$A:$A,customers!$G:$G,,0)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>
        <f>INDEX(products!$A$1:$G$49,MATCH(orders!$D875,products!$A$1:$A$49,0),MATCH(orders!K$1,products!$A$1:$G$1,0))</f>
        <v>0.2</v>
      </c>
      <c r="L875">
        <f>INDEX(products!$A$1:$G$49,MATCH(orders!$D875,products!$A$1:$A$49,0),MATCH(orders!L$1,products!$A$1:$G$1,0))</f>
        <v>2.9849999999999999</v>
      </c>
    </row>
    <row r="876" spans="1:12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>
        <f>IF(_xlfn.XLOOKUP(orders!C876,customers!$A:$A,customers!$C:$C,,0)=0,"",_xlfn.XLOOKUP(orders!C876,customers!$A:$A,customers!$C:$C,,0))</f>
        <v>jskentelberyoa@paypal.com</v>
      </c>
      <c r="H876" s="2" t="str">
        <f>_xlfn.XLOOKUP(C876,customers!$A:$A,customers!$G:$G,,0)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>
        <f>INDEX(products!$A$1:$G$49,MATCH(orders!$D876,products!$A$1:$A$49,0),MATCH(orders!K$1,products!$A$1:$G$1,0))</f>
        <v>1</v>
      </c>
      <c r="L876">
        <f>INDEX(products!$A$1:$G$49,MATCH(orders!$D876,products!$A$1:$A$49,0),MATCH(orders!L$1,products!$A$1:$G$1,0))</f>
        <v>12.95</v>
      </c>
    </row>
    <row r="877" spans="1:12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>
        <f>IF(_xlfn.XLOOKUP(orders!C877,customers!$A:$A,customers!$C:$C,,0)=0,"",_xlfn.XLOOKUP(orders!C877,customers!$A:$A,customers!$C:$C,,0))</f>
        <v>ocomberob@goo.gl</v>
      </c>
      <c r="H877" s="2" t="str">
        <f>_xlfn.XLOOKUP(C877,customers!$A:$A,customers!$G:$G,,0)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>
        <f>INDEX(products!$A$1:$G$49,MATCH(orders!$D877,products!$A$1:$A$49,0),MATCH(orders!K$1,products!$A$1:$G$1,0))</f>
        <v>0.5</v>
      </c>
      <c r="L877">
        <f>INDEX(products!$A$1:$G$49,MATCH(orders!$D877,products!$A$1:$A$49,0),MATCH(orders!L$1,products!$A$1:$G$1,0))</f>
        <v>8.73</v>
      </c>
    </row>
    <row r="878" spans="1:12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>
        <f>IF(_xlfn.XLOOKUP(orders!C878,customers!$A:$A,customers!$C:$C,,0)=0,"",_xlfn.XLOOKUP(orders!C878,customers!$A:$A,customers!$C:$C,,0))</f>
        <v>ocomberob@goo.gl</v>
      </c>
      <c r="H878" s="2" t="str">
        <f>_xlfn.XLOOKUP(C878,customers!$A:$A,customers!$G:$G,,0)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>
        <f>INDEX(products!$A$1:$G$49,MATCH(orders!$D878,products!$A$1:$A$49,0),MATCH(orders!K$1,products!$A$1:$G$1,0))</f>
        <v>0.5</v>
      </c>
      <c r="L878">
        <f>INDEX(products!$A$1:$G$49,MATCH(orders!$D878,products!$A$1:$A$49,0),MATCH(orders!L$1,products!$A$1:$G$1,0))</f>
        <v>7.77</v>
      </c>
    </row>
    <row r="879" spans="1:12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>
        <f>IF(_xlfn.XLOOKUP(orders!C879,customers!$A:$A,customers!$C:$C,,0)=0,"",_xlfn.XLOOKUP(orders!C879,customers!$A:$A,customers!$C:$C,,0))</f>
        <v>ztramelod@netlog.com</v>
      </c>
      <c r="H879" s="2" t="str">
        <f>_xlfn.XLOOKUP(C879,customers!$A:$A,customers!$G:$G,,0)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>
        <f>INDEX(products!$A$1:$G$49,MATCH(orders!$D879,products!$A$1:$A$49,0),MATCH(orders!K$1,products!$A$1:$G$1,0))</f>
        <v>0.5</v>
      </c>
      <c r="L879">
        <f>INDEX(products!$A$1:$G$49,MATCH(orders!$D879,products!$A$1:$A$49,0),MATCH(orders!L$1,products!$A$1:$G$1,0))</f>
        <v>9.51</v>
      </c>
    </row>
    <row r="880" spans="1:12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 t="str">
        <f>IF(_xlfn.XLOOKUP(orders!C880,customers!$A:$A,customers!$C:$C,,0)=0,"",_xlfn.XLOOKUP(orders!C880,customers!$A:$A,customers!$C:$C,,0))</f>
        <v/>
      </c>
      <c r="H880" s="2" t="str">
        <f>_xlfn.XLOOKUP(C880,customers!$A:$A,customers!$G:$G,,0)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>
        <f>INDEX(products!$A$1:$G$49,MATCH(orders!$D880,products!$A$1:$A$49,0),MATCH(orders!K$1,products!$A$1:$G$1,0))</f>
        <v>2.5</v>
      </c>
      <c r="L880">
        <f>INDEX(products!$A$1:$G$49,MATCH(orders!$D880,products!$A$1:$A$49,0),MATCH(orders!L$1,products!$A$1:$G$1,0))</f>
        <v>27.484999999999996</v>
      </c>
    </row>
    <row r="881" spans="1:12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 t="str">
        <f>IF(_xlfn.XLOOKUP(orders!C881,customers!$A:$A,customers!$C:$C,,0)=0,"",_xlfn.XLOOKUP(orders!C881,customers!$A:$A,customers!$C:$C,,0))</f>
        <v/>
      </c>
      <c r="H881" s="2" t="str">
        <f>_xlfn.XLOOKUP(C881,customers!$A:$A,customers!$G:$G,,0)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>
        <f>INDEX(products!$A$1:$G$49,MATCH(orders!$D881,products!$A$1:$A$49,0),MATCH(orders!K$1,products!$A$1:$G$1,0))</f>
        <v>0.2</v>
      </c>
      <c r="L881">
        <f>INDEX(products!$A$1:$G$49,MATCH(orders!$D881,products!$A$1:$A$49,0),MATCH(orders!L$1,products!$A$1:$G$1,0))</f>
        <v>3.645</v>
      </c>
    </row>
    <row r="882" spans="1:12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>
        <f>IF(_xlfn.XLOOKUP(orders!C882,customers!$A:$A,customers!$C:$C,,0)=0,"",_xlfn.XLOOKUP(orders!C882,customers!$A:$A,customers!$C:$C,,0))</f>
        <v>chatfullog@ebay.com</v>
      </c>
      <c r="H882" s="2" t="str">
        <f>_xlfn.XLOOKUP(C882,customers!$A:$A,customers!$G:$G,,0)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>
        <f>INDEX(products!$A$1:$G$49,MATCH(orders!$D882,products!$A$1:$A$49,0),MATCH(orders!K$1,products!$A$1:$G$1,0))</f>
        <v>0.2</v>
      </c>
      <c r="L882">
        <f>INDEX(products!$A$1:$G$49,MATCH(orders!$D882,products!$A$1:$A$49,0),MATCH(orders!L$1,products!$A$1:$G$1,0))</f>
        <v>3.5849999999999995</v>
      </c>
    </row>
    <row r="883" spans="1:12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 t="str">
        <f>IF(_xlfn.XLOOKUP(orders!C883,customers!$A:$A,customers!$C:$C,,0)=0,"",_xlfn.XLOOKUP(orders!C883,customers!$A:$A,customers!$C:$C,,0))</f>
        <v/>
      </c>
      <c r="H883" s="2" t="str">
        <f>_xlfn.XLOOKUP(C883,customers!$A:$A,customers!$G:$G,,0)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>
        <f>INDEX(products!$A$1:$G$49,MATCH(orders!$D883,products!$A$1:$A$49,0),MATCH(orders!K$1,products!$A$1:$G$1,0))</f>
        <v>0.2</v>
      </c>
      <c r="L883">
        <f>INDEX(products!$A$1:$G$49,MATCH(orders!$D883,products!$A$1:$A$49,0),MATCH(orders!L$1,products!$A$1:$G$1,0))</f>
        <v>3.8849999999999998</v>
      </c>
    </row>
    <row r="884" spans="1:12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>
        <f>IF(_xlfn.XLOOKUP(orders!C884,customers!$A:$A,customers!$C:$C,,0)=0,"",_xlfn.XLOOKUP(orders!C884,customers!$A:$A,customers!$C:$C,,0))</f>
        <v>kmarrisonoq@dropbox.com</v>
      </c>
      <c r="H884" s="2" t="str">
        <f>_xlfn.XLOOKUP(C884,customers!$A:$A,customers!$G:$G,,0)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>
        <f>INDEX(products!$A$1:$G$49,MATCH(orders!$D884,products!$A$1:$A$49,0),MATCH(orders!K$1,products!$A$1:$G$1,0))</f>
        <v>2.5</v>
      </c>
      <c r="L884">
        <f>INDEX(products!$A$1:$G$49,MATCH(orders!$D884,products!$A$1:$A$49,0),MATCH(orders!L$1,products!$A$1:$G$1,0))</f>
        <v>22.884999999999998</v>
      </c>
    </row>
    <row r="885" spans="1:12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>
        <f>IF(_xlfn.XLOOKUP(orders!C885,customers!$A:$A,customers!$C:$C,,0)=0,"",_xlfn.XLOOKUP(orders!C885,customers!$A:$A,customers!$C:$C,,0))</f>
        <v>lagnolooj@pinterest.com</v>
      </c>
      <c r="H885" s="2" t="str">
        <f>_xlfn.XLOOKUP(C885,customers!$A:$A,customers!$G:$G,,0)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>
        <f>INDEX(products!$A$1:$G$49,MATCH(orders!$D885,products!$A$1:$A$49,0),MATCH(orders!K$1,products!$A$1:$G$1,0))</f>
        <v>2.5</v>
      </c>
      <c r="L885">
        <f>INDEX(products!$A$1:$G$49,MATCH(orders!$D885,products!$A$1:$A$49,0),MATCH(orders!L$1,products!$A$1:$G$1,0))</f>
        <v>25.874999999999996</v>
      </c>
    </row>
    <row r="886" spans="1:12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>
        <f>IF(_xlfn.XLOOKUP(orders!C886,customers!$A:$A,customers!$C:$C,,0)=0,"",_xlfn.XLOOKUP(orders!C886,customers!$A:$A,customers!$C:$C,,0))</f>
        <v>dkiddyok@fda.gov</v>
      </c>
      <c r="H886" s="2" t="str">
        <f>_xlfn.XLOOKUP(C886,customers!$A:$A,customers!$G:$G,,0)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>
        <f>INDEX(products!$A$1:$G$49,MATCH(orders!$D886,products!$A$1:$A$49,0),MATCH(orders!K$1,products!$A$1:$G$1,0))</f>
        <v>0.5</v>
      </c>
      <c r="L886">
        <f>INDEX(products!$A$1:$G$49,MATCH(orders!$D886,products!$A$1:$A$49,0),MATCH(orders!L$1,products!$A$1:$G$1,0))</f>
        <v>5.3699999999999992</v>
      </c>
    </row>
    <row r="887" spans="1:12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>
        <f>IF(_xlfn.XLOOKUP(orders!C887,customers!$A:$A,customers!$C:$C,,0)=0,"",_xlfn.XLOOKUP(orders!C887,customers!$A:$A,customers!$C:$C,,0))</f>
        <v>hpetroulisol@state.tx.us</v>
      </c>
      <c r="H887" s="2" t="str">
        <f>_xlfn.XLOOKUP(C887,customers!$A:$A,customers!$G:$G,,0)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>
        <f>INDEX(products!$A$1:$G$49,MATCH(orders!$D887,products!$A$1:$A$49,0),MATCH(orders!K$1,products!$A$1:$G$1,0))</f>
        <v>2.5</v>
      </c>
      <c r="L887">
        <f>INDEX(products!$A$1:$G$49,MATCH(orders!$D887,products!$A$1:$A$49,0),MATCH(orders!L$1,products!$A$1:$G$1,0))</f>
        <v>20.584999999999997</v>
      </c>
    </row>
    <row r="888" spans="1:12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>
        <f>IF(_xlfn.XLOOKUP(orders!C888,customers!$A:$A,customers!$C:$C,,0)=0,"",_xlfn.XLOOKUP(orders!C888,customers!$A:$A,customers!$C:$C,,0))</f>
        <v>mschollom@taobao.com</v>
      </c>
      <c r="H888" s="2" t="str">
        <f>_xlfn.XLOOKUP(C888,customers!$A:$A,customers!$G:$G,,0)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>
        <f>INDEX(products!$A$1:$G$49,MATCH(orders!$D888,products!$A$1:$A$49,0),MATCH(orders!K$1,products!$A$1:$G$1,0))</f>
        <v>0.5</v>
      </c>
      <c r="L888">
        <f>INDEX(products!$A$1:$G$49,MATCH(orders!$D888,products!$A$1:$A$49,0),MATCH(orders!L$1,products!$A$1:$G$1,0))</f>
        <v>8.73</v>
      </c>
    </row>
    <row r="889" spans="1:12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>
        <f>IF(_xlfn.XLOOKUP(orders!C889,customers!$A:$A,customers!$C:$C,,0)=0,"",_xlfn.XLOOKUP(orders!C889,customers!$A:$A,customers!$C:$C,,0))</f>
        <v>kfersonon@g.co</v>
      </c>
      <c r="H889" s="2" t="str">
        <f>_xlfn.XLOOKUP(C889,customers!$A:$A,customers!$G:$G,,0)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>
        <f>INDEX(products!$A$1:$G$49,MATCH(orders!$D889,products!$A$1:$A$49,0),MATCH(orders!K$1,products!$A$1:$G$1,0))</f>
        <v>0.2</v>
      </c>
      <c r="L889">
        <f>INDEX(products!$A$1:$G$49,MATCH(orders!$D889,products!$A$1:$A$49,0),MATCH(orders!L$1,products!$A$1:$G$1,0))</f>
        <v>4.4550000000000001</v>
      </c>
    </row>
    <row r="890" spans="1:12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>
        <f>IF(_xlfn.XLOOKUP(orders!C890,customers!$A:$A,customers!$C:$C,,0)=0,"",_xlfn.XLOOKUP(orders!C890,customers!$A:$A,customers!$C:$C,,0))</f>
        <v>bkellowayoo@omniture.com</v>
      </c>
      <c r="H890" s="2" t="str">
        <f>_xlfn.XLOOKUP(C890,customers!$A:$A,customers!$G:$G,,0)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>
        <f>INDEX(products!$A$1:$G$49,MATCH(orders!$D890,products!$A$1:$A$49,0),MATCH(orders!K$1,products!$A$1:$G$1,0))</f>
        <v>0.2</v>
      </c>
      <c r="L890">
        <f>INDEX(products!$A$1:$G$49,MATCH(orders!$D890,products!$A$1:$A$49,0),MATCH(orders!L$1,products!$A$1:$G$1,0))</f>
        <v>3.8849999999999998</v>
      </c>
    </row>
    <row r="891" spans="1:12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>
        <f>IF(_xlfn.XLOOKUP(orders!C891,customers!$A:$A,customers!$C:$C,,0)=0,"",_xlfn.XLOOKUP(orders!C891,customers!$A:$A,customers!$C:$C,,0))</f>
        <v>soliffeop@yellowbook.com</v>
      </c>
      <c r="H891" s="2" t="str">
        <f>_xlfn.XLOOKUP(C891,customers!$A:$A,customers!$G:$G,,0)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>
        <f>INDEX(products!$A$1:$G$49,MATCH(orders!$D891,products!$A$1:$A$49,0),MATCH(orders!K$1,products!$A$1:$G$1,0))</f>
        <v>0.2</v>
      </c>
      <c r="L891">
        <f>INDEX(products!$A$1:$G$49,MATCH(orders!$D891,products!$A$1:$A$49,0),MATCH(orders!L$1,products!$A$1:$G$1,0))</f>
        <v>2.6849999999999996</v>
      </c>
    </row>
    <row r="892" spans="1:12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>
        <f>IF(_xlfn.XLOOKUP(orders!C892,customers!$A:$A,customers!$C:$C,,0)=0,"",_xlfn.XLOOKUP(orders!C892,customers!$A:$A,customers!$C:$C,,0))</f>
        <v>kmarrisonoq@dropbox.com</v>
      </c>
      <c r="H892" s="2" t="str">
        <f>_xlfn.XLOOKUP(C892,customers!$A:$A,customers!$G:$G,,0)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>
        <f>INDEX(products!$A$1:$G$49,MATCH(orders!$D892,products!$A$1:$A$49,0),MATCH(orders!K$1,products!$A$1:$G$1,0))</f>
        <v>2.5</v>
      </c>
      <c r="L892">
        <f>INDEX(products!$A$1:$G$49,MATCH(orders!$D892,products!$A$1:$A$49,0),MATCH(orders!L$1,products!$A$1:$G$1,0))</f>
        <v>20.584999999999997</v>
      </c>
    </row>
    <row r="893" spans="1:12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>
        <f>IF(_xlfn.XLOOKUP(orders!C893,customers!$A:$A,customers!$C:$C,,0)=0,"",_xlfn.XLOOKUP(orders!C893,customers!$A:$A,customers!$C:$C,,0))</f>
        <v>cdolohuntyor@dailymail.co.uk</v>
      </c>
      <c r="H893" s="2" t="str">
        <f>_xlfn.XLOOKUP(C893,customers!$A:$A,customers!$G:$G,,0)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>
        <f>INDEX(products!$A$1:$G$49,MATCH(orders!$D893,products!$A$1:$A$49,0),MATCH(orders!K$1,products!$A$1:$G$1,0))</f>
        <v>2.5</v>
      </c>
      <c r="L893">
        <f>INDEX(products!$A$1:$G$49,MATCH(orders!$D893,products!$A$1:$A$49,0),MATCH(orders!L$1,products!$A$1:$G$1,0))</f>
        <v>22.884999999999998</v>
      </c>
    </row>
    <row r="894" spans="1:12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>
        <f>IF(_xlfn.XLOOKUP(orders!C894,customers!$A:$A,customers!$C:$C,,0)=0,"",_xlfn.XLOOKUP(orders!C894,customers!$A:$A,customers!$C:$C,,0))</f>
        <v>pvasilenkoos@addtoany.com</v>
      </c>
      <c r="H894" s="2" t="str">
        <f>_xlfn.XLOOKUP(C894,customers!$A:$A,customers!$G:$G,,0)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>
        <f>INDEX(products!$A$1:$G$49,MATCH(orders!$D894,products!$A$1:$A$49,0),MATCH(orders!K$1,products!$A$1:$G$1,0))</f>
        <v>0.2</v>
      </c>
      <c r="L894">
        <f>INDEX(products!$A$1:$G$49,MATCH(orders!$D894,products!$A$1:$A$49,0),MATCH(orders!L$1,products!$A$1:$G$1,0))</f>
        <v>4.125</v>
      </c>
    </row>
    <row r="895" spans="1:12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>
        <f>IF(_xlfn.XLOOKUP(orders!C895,customers!$A:$A,customers!$C:$C,,0)=0,"",_xlfn.XLOOKUP(orders!C895,customers!$A:$A,customers!$C:$C,,0))</f>
        <v>rschankelborgot@ameblo.jp</v>
      </c>
      <c r="H895" s="2" t="str">
        <f>_xlfn.XLOOKUP(C895,customers!$A:$A,customers!$G:$G,,0)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>
        <f>INDEX(products!$A$1:$G$49,MATCH(orders!$D895,products!$A$1:$A$49,0),MATCH(orders!K$1,products!$A$1:$G$1,0))</f>
        <v>0.5</v>
      </c>
      <c r="L895">
        <f>INDEX(products!$A$1:$G$49,MATCH(orders!$D895,products!$A$1:$A$49,0),MATCH(orders!L$1,products!$A$1:$G$1,0))</f>
        <v>9.51</v>
      </c>
    </row>
    <row r="896" spans="1:12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 t="str">
        <f>IF(_xlfn.XLOOKUP(orders!C896,customers!$A:$A,customers!$C:$C,,0)=0,"",_xlfn.XLOOKUP(orders!C896,customers!$A:$A,customers!$C:$C,,0))</f>
        <v/>
      </c>
      <c r="H896" s="2" t="str">
        <f>_xlfn.XLOOKUP(C896,customers!$A:$A,customers!$G:$G,,0)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>
        <f>INDEX(products!$A$1:$G$49,MATCH(orders!$D896,products!$A$1:$A$49,0),MATCH(orders!K$1,products!$A$1:$G$1,0))</f>
        <v>2.5</v>
      </c>
      <c r="L896">
        <f>INDEX(products!$A$1:$G$49,MATCH(orders!$D896,products!$A$1:$A$49,0),MATCH(orders!L$1,products!$A$1:$G$1,0))</f>
        <v>20.584999999999997</v>
      </c>
    </row>
    <row r="897" spans="1:12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 t="str">
        <f>IF(_xlfn.XLOOKUP(orders!C897,customers!$A:$A,customers!$C:$C,,0)=0,"",_xlfn.XLOOKUP(orders!C897,customers!$A:$A,customers!$C:$C,,0))</f>
        <v/>
      </c>
      <c r="H897" s="2" t="str">
        <f>_xlfn.XLOOKUP(C897,customers!$A:$A,customers!$G:$G,,0)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>
        <f>INDEX(products!$A$1:$G$49,MATCH(orders!$D897,products!$A$1:$A$49,0),MATCH(orders!K$1,products!$A$1:$G$1,0))</f>
        <v>2.5</v>
      </c>
      <c r="L897">
        <f>INDEX(products!$A$1:$G$49,MATCH(orders!$D897,products!$A$1:$A$49,0),MATCH(orders!L$1,products!$A$1:$G$1,0))</f>
        <v>31.624999999999996</v>
      </c>
    </row>
    <row r="898" spans="1:12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>
        <f>IF(_xlfn.XLOOKUP(orders!C898,customers!$A:$A,customers!$C:$C,,0)=0,"",_xlfn.XLOOKUP(orders!C898,customers!$A:$A,customers!$C:$C,,0))</f>
        <v>bcargenow@geocities.jp</v>
      </c>
      <c r="H898" s="2" t="str">
        <f>_xlfn.XLOOKUP(C898,customers!$A:$A,customers!$G:$G,,0)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>
        <f>INDEX(products!$A$1:$G$49,MATCH(orders!$D898,products!$A$1:$A$49,0),MATCH(orders!K$1,products!$A$1:$G$1,0))</f>
        <v>0.5</v>
      </c>
      <c r="L898">
        <f>INDEX(products!$A$1:$G$49,MATCH(orders!$D898,products!$A$1:$A$49,0),MATCH(orders!L$1,products!$A$1:$G$1,0))</f>
        <v>5.3699999999999992</v>
      </c>
    </row>
    <row r="899" spans="1:12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>
        <f>IF(_xlfn.XLOOKUP(orders!C899,customers!$A:$A,customers!$C:$C,,0)=0,"",_xlfn.XLOOKUP(orders!C899,customers!$A:$A,customers!$C:$C,,0))</f>
        <v>rsticklerox@printfriendly.com</v>
      </c>
      <c r="H899" s="2" t="str">
        <f>_xlfn.XLOOKUP(C899,customers!$A:$A,customers!$G:$G,,0)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>
        <f>INDEX(products!$A$1:$G$49,MATCH(orders!$D899,products!$A$1:$A$49,0),MATCH(orders!K$1,products!$A$1:$G$1,0))</f>
        <v>1</v>
      </c>
      <c r="L899">
        <f>INDEX(products!$A$1:$G$49,MATCH(orders!$D899,products!$A$1:$A$49,0),MATCH(orders!L$1,products!$A$1:$G$1,0))</f>
        <v>12.15</v>
      </c>
    </row>
    <row r="900" spans="1:12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 t="str">
        <f>IF(_xlfn.XLOOKUP(orders!C900,customers!$A:$A,customers!$C:$C,,0)=0,"",_xlfn.XLOOKUP(orders!C900,customers!$A:$A,customers!$C:$C,,0))</f>
        <v/>
      </c>
      <c r="H900" s="2" t="str">
        <f>_xlfn.XLOOKUP(C900,customers!$A:$A,customers!$G:$G,,0)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>
        <f>INDEX(products!$A$1:$G$49,MATCH(orders!$D900,products!$A$1:$A$49,0),MATCH(orders!K$1,products!$A$1:$G$1,0))</f>
        <v>0.5</v>
      </c>
      <c r="L900">
        <f>INDEX(products!$A$1:$G$49,MATCH(orders!$D900,products!$A$1:$A$49,0),MATCH(orders!L$1,products!$A$1:$G$1,0))</f>
        <v>7.169999999999999</v>
      </c>
    </row>
    <row r="901" spans="1:12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 t="str">
        <f>IF(_xlfn.XLOOKUP(orders!C901,customers!$A:$A,customers!$C:$C,,0)=0,"",_xlfn.XLOOKUP(orders!C901,customers!$A:$A,customers!$C:$C,,0))</f>
        <v/>
      </c>
      <c r="H901" s="2" t="str">
        <f>_xlfn.XLOOKUP(C901,customers!$A:$A,customers!$G:$G,,0)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>
        <f>INDEX(products!$A$1:$G$49,MATCH(orders!$D901,products!$A$1:$A$49,0),MATCH(orders!K$1,products!$A$1:$G$1,0))</f>
        <v>1</v>
      </c>
      <c r="L901">
        <f>INDEX(products!$A$1:$G$49,MATCH(orders!$D901,products!$A$1:$A$49,0),MATCH(orders!L$1,products!$A$1:$G$1,0))</f>
        <v>14.55</v>
      </c>
    </row>
    <row r="902" spans="1:12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 t="str">
        <f>IF(_xlfn.XLOOKUP(orders!C902,customers!$A:$A,customers!$C:$C,,0)=0,"",_xlfn.XLOOKUP(orders!C902,customers!$A:$A,customers!$C:$C,,0))</f>
        <v/>
      </c>
      <c r="H902" s="2" t="str">
        <f>_xlfn.XLOOKUP(C902,customers!$A:$A,customers!$G:$G,,0)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>
        <f>INDEX(products!$A$1:$G$49,MATCH(orders!$D902,products!$A$1:$A$49,0),MATCH(orders!K$1,products!$A$1:$G$1,0))</f>
        <v>1</v>
      </c>
      <c r="L902">
        <f>INDEX(products!$A$1:$G$49,MATCH(orders!$D902,products!$A$1:$A$49,0),MATCH(orders!L$1,products!$A$1:$G$1,0))</f>
        <v>15.85</v>
      </c>
    </row>
    <row r="903" spans="1:12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>
        <f>IF(_xlfn.XLOOKUP(orders!C903,customers!$A:$A,customers!$C:$C,,0)=0,"",_xlfn.XLOOKUP(orders!C903,customers!$A:$A,customers!$C:$C,,0))</f>
        <v>djevonp1@ibm.com</v>
      </c>
      <c r="H903" s="2" t="str">
        <f>_xlfn.XLOOKUP(C903,customers!$A:$A,customers!$G:$G,,0)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>
        <f>INDEX(products!$A$1:$G$49,MATCH(orders!$D903,products!$A$1:$A$49,0),MATCH(orders!K$1,products!$A$1:$G$1,0))</f>
        <v>0.2</v>
      </c>
      <c r="L903">
        <f>INDEX(products!$A$1:$G$49,MATCH(orders!$D903,products!$A$1:$A$49,0),MATCH(orders!L$1,products!$A$1:$G$1,0))</f>
        <v>3.5849999999999995</v>
      </c>
    </row>
    <row r="904" spans="1:12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>
        <f>IF(_xlfn.XLOOKUP(orders!C904,customers!$A:$A,customers!$C:$C,,0)=0,"",_xlfn.XLOOKUP(orders!C904,customers!$A:$A,customers!$C:$C,,0))</f>
        <v>hrannerp2@omniture.com</v>
      </c>
      <c r="H904" s="2" t="str">
        <f>_xlfn.XLOOKUP(C904,customers!$A:$A,customers!$G:$G,,0)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>
        <f>INDEX(products!$A$1:$G$49,MATCH(orders!$D904,products!$A$1:$A$49,0),MATCH(orders!K$1,products!$A$1:$G$1,0))</f>
        <v>2.5</v>
      </c>
      <c r="L904">
        <f>INDEX(products!$A$1:$G$49,MATCH(orders!$D904,products!$A$1:$A$49,0),MATCH(orders!L$1,products!$A$1:$G$1,0))</f>
        <v>31.624999999999996</v>
      </c>
    </row>
    <row r="905" spans="1:12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>
        <f>IF(_xlfn.XLOOKUP(orders!C905,customers!$A:$A,customers!$C:$C,,0)=0,"",_xlfn.XLOOKUP(orders!C905,customers!$A:$A,customers!$C:$C,,0))</f>
        <v>bimriep3@addtoany.com</v>
      </c>
      <c r="H905" s="2" t="str">
        <f>_xlfn.XLOOKUP(C905,customers!$A:$A,customers!$G:$G,,0)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>
        <f>INDEX(products!$A$1:$G$49,MATCH(orders!$D905,products!$A$1:$A$49,0),MATCH(orders!K$1,products!$A$1:$G$1,0))</f>
        <v>0.5</v>
      </c>
      <c r="L905">
        <f>INDEX(products!$A$1:$G$49,MATCH(orders!$D905,products!$A$1:$A$49,0),MATCH(orders!L$1,products!$A$1:$G$1,0))</f>
        <v>8.73</v>
      </c>
    </row>
    <row r="906" spans="1:12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>
        <f>IF(_xlfn.XLOOKUP(orders!C906,customers!$A:$A,customers!$C:$C,,0)=0,"",_xlfn.XLOOKUP(orders!C906,customers!$A:$A,customers!$C:$C,,0))</f>
        <v>dsopperp4@eventbrite.com</v>
      </c>
      <c r="H906" s="2" t="str">
        <f>_xlfn.XLOOKUP(C906,customers!$A:$A,customers!$G:$G,,0)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>
        <f>INDEX(products!$A$1:$G$49,MATCH(orders!$D906,products!$A$1:$A$49,0),MATCH(orders!K$1,products!$A$1:$G$1,0))</f>
        <v>2.5</v>
      </c>
      <c r="L906">
        <f>INDEX(products!$A$1:$G$49,MATCH(orders!$D906,products!$A$1:$A$49,0),MATCH(orders!L$1,products!$A$1:$G$1,0))</f>
        <v>29.784999999999997</v>
      </c>
    </row>
    <row r="907" spans="1:12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 t="str">
        <f>IF(_xlfn.XLOOKUP(orders!C907,customers!$A:$A,customers!$C:$C,,0)=0,"",_xlfn.XLOOKUP(orders!C907,customers!$A:$A,customers!$C:$C,,0))</f>
        <v/>
      </c>
      <c r="H907" s="2" t="str">
        <f>_xlfn.XLOOKUP(C907,customers!$A:$A,customers!$G:$G,,0)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>
        <f>INDEX(products!$A$1:$G$49,MATCH(orders!$D907,products!$A$1:$A$49,0),MATCH(orders!K$1,products!$A$1:$G$1,0))</f>
        <v>0.5</v>
      </c>
      <c r="L907">
        <f>INDEX(products!$A$1:$G$49,MATCH(orders!$D907,products!$A$1:$A$49,0),MATCH(orders!L$1,products!$A$1:$G$1,0))</f>
        <v>6.75</v>
      </c>
    </row>
    <row r="908" spans="1:12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>
        <f>IF(_xlfn.XLOOKUP(orders!C908,customers!$A:$A,customers!$C:$C,,0)=0,"",_xlfn.XLOOKUP(orders!C908,customers!$A:$A,customers!$C:$C,,0))</f>
        <v>lledgleyp6@de.vu</v>
      </c>
      <c r="H908" s="2" t="str">
        <f>_xlfn.XLOOKUP(C908,customers!$A:$A,customers!$G:$G,,0)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>
        <f>INDEX(products!$A$1:$G$49,MATCH(orders!$D908,products!$A$1:$A$49,0),MATCH(orders!K$1,products!$A$1:$G$1,0))</f>
        <v>0.5</v>
      </c>
      <c r="L908">
        <f>INDEX(products!$A$1:$G$49,MATCH(orders!$D908,products!$A$1:$A$49,0),MATCH(orders!L$1,products!$A$1:$G$1,0))</f>
        <v>6.75</v>
      </c>
    </row>
    <row r="909" spans="1:12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>
        <f>IF(_xlfn.XLOOKUP(orders!C909,customers!$A:$A,customers!$C:$C,,0)=0,"",_xlfn.XLOOKUP(orders!C909,customers!$A:$A,customers!$C:$C,,0))</f>
        <v>tmenaryp7@phoca.cz</v>
      </c>
      <c r="H909" s="2" t="str">
        <f>_xlfn.XLOOKUP(C909,customers!$A:$A,customers!$G:$G,,0)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>
        <f>INDEX(products!$A$1:$G$49,MATCH(orders!$D909,products!$A$1:$A$49,0),MATCH(orders!K$1,products!$A$1:$G$1,0))</f>
        <v>1</v>
      </c>
      <c r="L909">
        <f>INDEX(products!$A$1:$G$49,MATCH(orders!$D909,products!$A$1:$A$49,0),MATCH(orders!L$1,products!$A$1:$G$1,0))</f>
        <v>12.95</v>
      </c>
    </row>
    <row r="910" spans="1:12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>
        <f>IF(_xlfn.XLOOKUP(orders!C910,customers!$A:$A,customers!$C:$C,,0)=0,"",_xlfn.XLOOKUP(orders!C910,customers!$A:$A,customers!$C:$C,,0))</f>
        <v>gciccottip8@so-net.ne.jp</v>
      </c>
      <c r="H910" s="2" t="str">
        <f>_xlfn.XLOOKUP(C910,customers!$A:$A,customers!$G:$G,,0)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>
        <f>INDEX(products!$A$1:$G$49,MATCH(orders!$D910,products!$A$1:$A$49,0),MATCH(orders!K$1,products!$A$1:$G$1,0))</f>
        <v>1</v>
      </c>
      <c r="L910">
        <f>INDEX(products!$A$1:$G$49,MATCH(orders!$D910,products!$A$1:$A$49,0),MATCH(orders!L$1,products!$A$1:$G$1,0))</f>
        <v>11.95</v>
      </c>
    </row>
    <row r="911" spans="1:12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 t="str">
        <f>IF(_xlfn.XLOOKUP(orders!C911,customers!$A:$A,customers!$C:$C,,0)=0,"",_xlfn.XLOOKUP(orders!C911,customers!$A:$A,customers!$C:$C,,0))</f>
        <v/>
      </c>
      <c r="H911" s="2" t="str">
        <f>_xlfn.XLOOKUP(C911,customers!$A:$A,customers!$G:$G,,0)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>
        <f>INDEX(products!$A$1:$G$49,MATCH(orders!$D911,products!$A$1:$A$49,0),MATCH(orders!K$1,products!$A$1:$G$1,0))</f>
        <v>0.2</v>
      </c>
      <c r="L911">
        <f>INDEX(products!$A$1:$G$49,MATCH(orders!$D911,products!$A$1:$A$49,0),MATCH(orders!L$1,products!$A$1:$G$1,0))</f>
        <v>3.5849999999999995</v>
      </c>
    </row>
    <row r="912" spans="1:12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>
        <f>IF(_xlfn.XLOOKUP(orders!C912,customers!$A:$A,customers!$C:$C,,0)=0,"",_xlfn.XLOOKUP(orders!C912,customers!$A:$A,customers!$C:$C,,0))</f>
        <v>wjallinpa@pcworld.com</v>
      </c>
      <c r="H912" s="2" t="str">
        <f>_xlfn.XLOOKUP(C912,customers!$A:$A,customers!$G:$G,,0)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>
        <f>INDEX(products!$A$1:$G$49,MATCH(orders!$D912,products!$A$1:$A$49,0),MATCH(orders!K$1,products!$A$1:$G$1,0))</f>
        <v>2.5</v>
      </c>
      <c r="L912">
        <f>INDEX(products!$A$1:$G$49,MATCH(orders!$D912,products!$A$1:$A$49,0),MATCH(orders!L$1,products!$A$1:$G$1,0))</f>
        <v>22.884999999999998</v>
      </c>
    </row>
    <row r="913" spans="1:12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>
        <f>IF(_xlfn.XLOOKUP(orders!C913,customers!$A:$A,customers!$C:$C,,0)=0,"",_xlfn.XLOOKUP(orders!C913,customers!$A:$A,customers!$C:$C,,0))</f>
        <v>mbogeypb@thetimes.co.uk</v>
      </c>
      <c r="H913" s="2" t="str">
        <f>_xlfn.XLOOKUP(C913,customers!$A:$A,customers!$G:$G,,0)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>
        <f>INDEX(products!$A$1:$G$49,MATCH(orders!$D913,products!$A$1:$A$49,0),MATCH(orders!K$1,products!$A$1:$G$1,0))</f>
        <v>1</v>
      </c>
      <c r="L913">
        <f>INDEX(products!$A$1:$G$49,MATCH(orders!$D913,products!$A$1:$A$49,0),MATCH(orders!L$1,products!$A$1:$G$1,0))</f>
        <v>11.25</v>
      </c>
    </row>
    <row r="914" spans="1:12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 t="str">
        <f>IF(_xlfn.XLOOKUP(orders!C914,customers!$A:$A,customers!$C:$C,,0)=0,"",_xlfn.XLOOKUP(orders!C914,customers!$A:$A,customers!$C:$C,,0))</f>
        <v/>
      </c>
      <c r="H914" s="2" t="str">
        <f>_xlfn.XLOOKUP(C914,customers!$A:$A,customers!$G:$G,,0)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>
        <f>INDEX(products!$A$1:$G$49,MATCH(orders!$D914,products!$A$1:$A$49,0),MATCH(orders!K$1,products!$A$1:$G$1,0))</f>
        <v>2.5</v>
      </c>
      <c r="L914">
        <f>INDEX(products!$A$1:$G$49,MATCH(orders!$D914,products!$A$1:$A$49,0),MATCH(orders!L$1,products!$A$1:$G$1,0))</f>
        <v>22.884999999999998</v>
      </c>
    </row>
    <row r="915" spans="1:12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>
        <f>IF(_xlfn.XLOOKUP(orders!C915,customers!$A:$A,customers!$C:$C,,0)=0,"",_xlfn.XLOOKUP(orders!C915,customers!$A:$A,customers!$C:$C,,0))</f>
        <v>mcobbledickpd@ucsd.edu</v>
      </c>
      <c r="H915" s="2" t="str">
        <f>_xlfn.XLOOKUP(C915,customers!$A:$A,customers!$G:$G,,0)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>
        <f>INDEX(products!$A$1:$G$49,MATCH(orders!$D915,products!$A$1:$A$49,0),MATCH(orders!K$1,products!$A$1:$G$1,0))</f>
        <v>0.5</v>
      </c>
      <c r="L915">
        <f>INDEX(products!$A$1:$G$49,MATCH(orders!$D915,products!$A$1:$A$49,0),MATCH(orders!L$1,products!$A$1:$G$1,0))</f>
        <v>6.75</v>
      </c>
    </row>
    <row r="916" spans="1:12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>
        <f>IF(_xlfn.XLOOKUP(orders!C916,customers!$A:$A,customers!$C:$C,,0)=0,"",_xlfn.XLOOKUP(orders!C916,customers!$A:$A,customers!$C:$C,,0))</f>
        <v>alewrype@whitehouse.gov</v>
      </c>
      <c r="H916" s="2" t="str">
        <f>_xlfn.XLOOKUP(C916,customers!$A:$A,customers!$G:$G,,0)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>
        <f>INDEX(products!$A$1:$G$49,MATCH(orders!$D916,products!$A$1:$A$49,0),MATCH(orders!K$1,products!$A$1:$G$1,0))</f>
        <v>1</v>
      </c>
      <c r="L916">
        <f>INDEX(products!$A$1:$G$49,MATCH(orders!$D916,products!$A$1:$A$49,0),MATCH(orders!L$1,products!$A$1:$G$1,0))</f>
        <v>11.25</v>
      </c>
    </row>
    <row r="917" spans="1:12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>
        <f>IF(_xlfn.XLOOKUP(orders!C917,customers!$A:$A,customers!$C:$C,,0)=0,"",_xlfn.XLOOKUP(orders!C917,customers!$A:$A,customers!$C:$C,,0))</f>
        <v>ihesselpf@ox.ac.uk</v>
      </c>
      <c r="H917" s="2" t="str">
        <f>_xlfn.XLOOKUP(C917,customers!$A:$A,customers!$G:$G,,0)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>
        <f>INDEX(products!$A$1:$G$49,MATCH(orders!$D917,products!$A$1:$A$49,0),MATCH(orders!K$1,products!$A$1:$G$1,0))</f>
        <v>2.5</v>
      </c>
      <c r="L917">
        <f>INDEX(products!$A$1:$G$49,MATCH(orders!$D917,products!$A$1:$A$49,0),MATCH(orders!L$1,products!$A$1:$G$1,0))</f>
        <v>27.945</v>
      </c>
    </row>
    <row r="918" spans="1:12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 t="str">
        <f>IF(_xlfn.XLOOKUP(orders!C918,customers!$A:$A,customers!$C:$C,,0)=0,"",_xlfn.XLOOKUP(orders!C918,customers!$A:$A,customers!$C:$C,,0))</f>
        <v/>
      </c>
      <c r="H918" s="2" t="str">
        <f>_xlfn.XLOOKUP(C918,customers!$A:$A,customers!$G:$G,,0)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>
        <f>INDEX(products!$A$1:$G$49,MATCH(orders!$D918,products!$A$1:$A$49,0),MATCH(orders!K$1,products!$A$1:$G$1,0))</f>
        <v>0.2</v>
      </c>
      <c r="L918">
        <f>INDEX(products!$A$1:$G$49,MATCH(orders!$D918,products!$A$1:$A$49,0),MATCH(orders!L$1,products!$A$1:$G$1,0))</f>
        <v>3.645</v>
      </c>
    </row>
    <row r="919" spans="1:12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>
        <f>IF(_xlfn.XLOOKUP(orders!C919,customers!$A:$A,customers!$C:$C,,0)=0,"",_xlfn.XLOOKUP(orders!C919,customers!$A:$A,customers!$C:$C,,0))</f>
        <v>csorrellph@amazon.com</v>
      </c>
      <c r="H919" s="2" t="str">
        <f>_xlfn.XLOOKUP(C919,customers!$A:$A,customers!$G:$G,,0)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>
        <f>INDEX(products!$A$1:$G$49,MATCH(orders!$D919,products!$A$1:$A$49,0),MATCH(orders!K$1,products!$A$1:$G$1,0))</f>
        <v>0.5</v>
      </c>
      <c r="L919">
        <f>INDEX(products!$A$1:$G$49,MATCH(orders!$D919,products!$A$1:$A$49,0),MATCH(orders!L$1,products!$A$1:$G$1,0))</f>
        <v>6.75</v>
      </c>
    </row>
    <row r="920" spans="1:12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>
        <f>IF(_xlfn.XLOOKUP(orders!C920,customers!$A:$A,customers!$C:$C,,0)=0,"",_xlfn.XLOOKUP(orders!C920,customers!$A:$A,customers!$C:$C,,0))</f>
        <v>csorrellph@amazon.com</v>
      </c>
      <c r="H920" s="2" t="str">
        <f>_xlfn.XLOOKUP(C920,customers!$A:$A,customers!$G:$G,,0)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>
        <f>INDEX(products!$A$1:$G$49,MATCH(orders!$D920,products!$A$1:$A$49,0),MATCH(orders!K$1,products!$A$1:$G$1,0))</f>
        <v>0.5</v>
      </c>
      <c r="L920">
        <f>INDEX(products!$A$1:$G$49,MATCH(orders!$D920,products!$A$1:$A$49,0),MATCH(orders!L$1,products!$A$1:$G$1,0))</f>
        <v>7.29</v>
      </c>
    </row>
    <row r="921" spans="1:12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>
        <f>IF(_xlfn.XLOOKUP(orders!C921,customers!$A:$A,customers!$C:$C,,0)=0,"",_xlfn.XLOOKUP(orders!C921,customers!$A:$A,customers!$C:$C,,0))</f>
        <v>qheavysidepj@unc.edu</v>
      </c>
      <c r="H921" s="2" t="str">
        <f>_xlfn.XLOOKUP(C921,customers!$A:$A,customers!$G:$G,,0)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>
        <f>INDEX(products!$A$1:$G$49,MATCH(orders!$D921,products!$A$1:$A$49,0),MATCH(orders!K$1,products!$A$1:$G$1,0))</f>
        <v>0.2</v>
      </c>
      <c r="L921">
        <f>INDEX(products!$A$1:$G$49,MATCH(orders!$D921,products!$A$1:$A$49,0),MATCH(orders!L$1,products!$A$1:$G$1,0))</f>
        <v>2.6849999999999996</v>
      </c>
    </row>
    <row r="922" spans="1:12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>
        <f>IF(_xlfn.XLOOKUP(orders!C922,customers!$A:$A,customers!$C:$C,,0)=0,"",_xlfn.XLOOKUP(orders!C922,customers!$A:$A,customers!$C:$C,,0))</f>
        <v>hreuvenpk@whitehouse.gov</v>
      </c>
      <c r="H922" s="2" t="str">
        <f>_xlfn.XLOOKUP(C922,customers!$A:$A,customers!$G:$G,,0)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>
        <f>INDEX(products!$A$1:$G$49,MATCH(orders!$D922,products!$A$1:$A$49,0),MATCH(orders!K$1,products!$A$1:$G$1,0))</f>
        <v>2.5</v>
      </c>
      <c r="L922">
        <f>INDEX(products!$A$1:$G$49,MATCH(orders!$D922,products!$A$1:$A$49,0),MATCH(orders!L$1,products!$A$1:$G$1,0))</f>
        <v>20.584999999999997</v>
      </c>
    </row>
    <row r="923" spans="1:12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>
        <f>IF(_xlfn.XLOOKUP(orders!C923,customers!$A:$A,customers!$C:$C,,0)=0,"",_xlfn.XLOOKUP(orders!C923,customers!$A:$A,customers!$C:$C,,0))</f>
        <v>mattwoolpl@nba.com</v>
      </c>
      <c r="H923" s="2" t="str">
        <f>_xlfn.XLOOKUP(C923,customers!$A:$A,customers!$G:$G,,0)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>
        <f>INDEX(products!$A$1:$G$49,MATCH(orders!$D923,products!$A$1:$A$49,0),MATCH(orders!K$1,products!$A$1:$G$1,0))</f>
        <v>0.2</v>
      </c>
      <c r="L923">
        <f>INDEX(products!$A$1:$G$49,MATCH(orders!$D923,products!$A$1:$A$49,0),MATCH(orders!L$1,products!$A$1:$G$1,0))</f>
        <v>3.8849999999999998</v>
      </c>
    </row>
    <row r="924" spans="1:12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 t="str">
        <f>IF(_xlfn.XLOOKUP(orders!C924,customers!$A:$A,customers!$C:$C,,0)=0,"",_xlfn.XLOOKUP(orders!C924,customers!$A:$A,customers!$C:$C,,0))</f>
        <v/>
      </c>
      <c r="H924" s="2" t="str">
        <f>_xlfn.XLOOKUP(C924,customers!$A:$A,customers!$G:$G,,0)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>
        <f>INDEX(products!$A$1:$G$49,MATCH(orders!$D924,products!$A$1:$A$49,0),MATCH(orders!K$1,products!$A$1:$G$1,0))</f>
        <v>1</v>
      </c>
      <c r="L924">
        <f>INDEX(products!$A$1:$G$49,MATCH(orders!$D924,products!$A$1:$A$49,0),MATCH(orders!L$1,products!$A$1:$G$1,0))</f>
        <v>11.25</v>
      </c>
    </row>
    <row r="925" spans="1:12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>
        <f>IF(_xlfn.XLOOKUP(orders!C925,customers!$A:$A,customers!$C:$C,,0)=0,"",_xlfn.XLOOKUP(orders!C925,customers!$A:$A,customers!$C:$C,,0))</f>
        <v>gwynespn@dagondesign.com</v>
      </c>
      <c r="H925" s="2" t="str">
        <f>_xlfn.XLOOKUP(C925,customers!$A:$A,customers!$G:$G,,0)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>
        <f>INDEX(products!$A$1:$G$49,MATCH(orders!$D925,products!$A$1:$A$49,0),MATCH(orders!K$1,products!$A$1:$G$1,0))</f>
        <v>2.5</v>
      </c>
      <c r="L925">
        <f>INDEX(products!$A$1:$G$49,MATCH(orders!$D925,products!$A$1:$A$49,0),MATCH(orders!L$1,products!$A$1:$G$1,0))</f>
        <v>27.945</v>
      </c>
    </row>
    <row r="926" spans="1:12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>
        <f>IF(_xlfn.XLOOKUP(orders!C926,customers!$A:$A,customers!$C:$C,,0)=0,"",_xlfn.XLOOKUP(orders!C926,customers!$A:$A,customers!$C:$C,,0))</f>
        <v>cmaccourtpo@amazon.com</v>
      </c>
      <c r="H926" s="2" t="str">
        <f>_xlfn.XLOOKUP(C926,customers!$A:$A,customers!$G:$G,,0)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>
        <f>INDEX(products!$A$1:$G$49,MATCH(orders!$D926,products!$A$1:$A$49,0),MATCH(orders!K$1,products!$A$1:$G$1,0))</f>
        <v>2.5</v>
      </c>
      <c r="L926">
        <f>INDEX(products!$A$1:$G$49,MATCH(orders!$D926,products!$A$1:$A$49,0),MATCH(orders!L$1,products!$A$1:$G$1,0))</f>
        <v>29.784999999999997</v>
      </c>
    </row>
    <row r="927" spans="1:12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 t="str">
        <f>IF(_xlfn.XLOOKUP(orders!C927,customers!$A:$A,customers!$C:$C,,0)=0,"",_xlfn.XLOOKUP(orders!C927,customers!$A:$A,customers!$C:$C,,0))</f>
        <v/>
      </c>
      <c r="H927" s="2" t="str">
        <f>_xlfn.XLOOKUP(C927,customers!$A:$A,customers!$G:$G,,0)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>
        <f>INDEX(products!$A$1:$G$49,MATCH(orders!$D927,products!$A$1:$A$49,0),MATCH(orders!K$1,products!$A$1:$G$1,0))</f>
        <v>0.5</v>
      </c>
      <c r="L927">
        <f>INDEX(products!$A$1:$G$49,MATCH(orders!$D927,products!$A$1:$A$49,0),MATCH(orders!L$1,products!$A$1:$G$1,0))</f>
        <v>6.75</v>
      </c>
    </row>
    <row r="928" spans="1:12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>
        <f>IF(_xlfn.XLOOKUP(orders!C928,customers!$A:$A,customers!$C:$C,,0)=0,"",_xlfn.XLOOKUP(orders!C928,customers!$A:$A,customers!$C:$C,,0))</f>
        <v>ewilsonepq@eepurl.com</v>
      </c>
      <c r="H928" s="2" t="str">
        <f>_xlfn.XLOOKUP(C928,customers!$A:$A,customers!$G:$G,,0)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>
        <f>INDEX(products!$A$1:$G$49,MATCH(orders!$D928,products!$A$1:$A$49,0),MATCH(orders!K$1,products!$A$1:$G$1,0))</f>
        <v>0.5</v>
      </c>
      <c r="L928">
        <f>INDEX(products!$A$1:$G$49,MATCH(orders!$D928,products!$A$1:$A$49,0),MATCH(orders!L$1,products!$A$1:$G$1,0))</f>
        <v>6.75</v>
      </c>
    </row>
    <row r="929" spans="1:12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>
        <f>IF(_xlfn.XLOOKUP(orders!C929,customers!$A:$A,customers!$C:$C,,0)=0,"",_xlfn.XLOOKUP(orders!C929,customers!$A:$A,customers!$C:$C,,0))</f>
        <v>dduffiepr@time.com</v>
      </c>
      <c r="H929" s="2" t="str">
        <f>_xlfn.XLOOKUP(C929,customers!$A:$A,customers!$G:$G,,0)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>
        <f>INDEX(products!$A$1:$G$49,MATCH(orders!$D929,products!$A$1:$A$49,0),MATCH(orders!K$1,products!$A$1:$G$1,0))</f>
        <v>2.5</v>
      </c>
      <c r="L929">
        <f>INDEX(products!$A$1:$G$49,MATCH(orders!$D929,products!$A$1:$A$49,0),MATCH(orders!L$1,products!$A$1:$G$1,0))</f>
        <v>27.945</v>
      </c>
    </row>
    <row r="930" spans="1:12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>
        <f>IF(_xlfn.XLOOKUP(orders!C930,customers!$A:$A,customers!$C:$C,,0)=0,"",_xlfn.XLOOKUP(orders!C930,customers!$A:$A,customers!$C:$C,,0))</f>
        <v>mmatiasekps@ucoz.ru</v>
      </c>
      <c r="H930" s="2" t="str">
        <f>_xlfn.XLOOKUP(C930,customers!$A:$A,customers!$G:$G,,0)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>
        <f>INDEX(products!$A$1:$G$49,MATCH(orders!$D930,products!$A$1:$A$49,0),MATCH(orders!K$1,products!$A$1:$G$1,0))</f>
        <v>2.5</v>
      </c>
      <c r="L930">
        <f>INDEX(products!$A$1:$G$49,MATCH(orders!$D930,products!$A$1:$A$49,0),MATCH(orders!L$1,products!$A$1:$G$1,0))</f>
        <v>31.624999999999996</v>
      </c>
    </row>
    <row r="931" spans="1:12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>
        <f>IF(_xlfn.XLOOKUP(orders!C931,customers!$A:$A,customers!$C:$C,,0)=0,"",_xlfn.XLOOKUP(orders!C931,customers!$A:$A,customers!$C:$C,,0))</f>
        <v>jcamillopt@shinystat.com</v>
      </c>
      <c r="H931" s="2" t="str">
        <f>_xlfn.XLOOKUP(C931,customers!$A:$A,customers!$G:$G,,0)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>
        <f>INDEX(products!$A$1:$G$49,MATCH(orders!$D931,products!$A$1:$A$49,0),MATCH(orders!K$1,products!$A$1:$G$1,0))</f>
        <v>0.2</v>
      </c>
      <c r="L931">
        <f>INDEX(products!$A$1:$G$49,MATCH(orders!$D931,products!$A$1:$A$49,0),MATCH(orders!L$1,products!$A$1:$G$1,0))</f>
        <v>4.4550000000000001</v>
      </c>
    </row>
    <row r="932" spans="1:12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>
        <f>IF(_xlfn.XLOOKUP(orders!C932,customers!$A:$A,customers!$C:$C,,0)=0,"",_xlfn.XLOOKUP(orders!C932,customers!$A:$A,customers!$C:$C,,0))</f>
        <v>kphilbrickpu@cdc.gov</v>
      </c>
      <c r="H932" s="2" t="str">
        <f>_xlfn.XLOOKUP(C932,customers!$A:$A,customers!$G:$G,,0)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>
        <f>INDEX(products!$A$1:$G$49,MATCH(orders!$D932,products!$A$1:$A$49,0),MATCH(orders!K$1,products!$A$1:$G$1,0))</f>
        <v>1</v>
      </c>
      <c r="L932">
        <f>INDEX(products!$A$1:$G$49,MATCH(orders!$D932,products!$A$1:$A$49,0),MATCH(orders!L$1,products!$A$1:$G$1,0))</f>
        <v>12.15</v>
      </c>
    </row>
    <row r="933" spans="1:12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 t="str">
        <f>IF(_xlfn.XLOOKUP(orders!C933,customers!$A:$A,customers!$C:$C,,0)=0,"",_xlfn.XLOOKUP(orders!C933,customers!$A:$A,customers!$C:$C,,0))</f>
        <v/>
      </c>
      <c r="H933" s="2" t="str">
        <f>_xlfn.XLOOKUP(C933,customers!$A:$A,customers!$G:$G,,0)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>
        <f>INDEX(products!$A$1:$G$49,MATCH(orders!$D933,products!$A$1:$A$49,0),MATCH(orders!K$1,products!$A$1:$G$1,0))</f>
        <v>0.5</v>
      </c>
      <c r="L933">
        <f>INDEX(products!$A$1:$G$49,MATCH(orders!$D933,products!$A$1:$A$49,0),MATCH(orders!L$1,products!$A$1:$G$1,0))</f>
        <v>5.97</v>
      </c>
    </row>
    <row r="934" spans="1:12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>
        <f>IF(_xlfn.XLOOKUP(orders!C934,customers!$A:$A,customers!$C:$C,,0)=0,"",_xlfn.XLOOKUP(orders!C934,customers!$A:$A,customers!$C:$C,,0))</f>
        <v>bsillispw@istockphoto.com</v>
      </c>
      <c r="H934" s="2" t="str">
        <f>_xlfn.XLOOKUP(C934,customers!$A:$A,customers!$G:$G,,0)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>
        <f>INDEX(products!$A$1:$G$49,MATCH(orders!$D934,products!$A$1:$A$49,0),MATCH(orders!K$1,products!$A$1:$G$1,0))</f>
        <v>1</v>
      </c>
      <c r="L934">
        <f>INDEX(products!$A$1:$G$49,MATCH(orders!$D934,products!$A$1:$A$49,0),MATCH(orders!L$1,products!$A$1:$G$1,0))</f>
        <v>13.75</v>
      </c>
    </row>
    <row r="935" spans="1:12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 t="str">
        <f>IF(_xlfn.XLOOKUP(orders!C935,customers!$A:$A,customers!$C:$C,,0)=0,"",_xlfn.XLOOKUP(orders!C935,customers!$A:$A,customers!$C:$C,,0))</f>
        <v/>
      </c>
      <c r="H935" s="2" t="str">
        <f>_xlfn.XLOOKUP(C935,customers!$A:$A,customers!$G:$G,,0)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>
        <f>INDEX(products!$A$1:$G$49,MATCH(orders!$D935,products!$A$1:$A$49,0),MATCH(orders!K$1,products!$A$1:$G$1,0))</f>
        <v>1</v>
      </c>
      <c r="L935">
        <f>INDEX(products!$A$1:$G$49,MATCH(orders!$D935,products!$A$1:$A$49,0),MATCH(orders!L$1,products!$A$1:$G$1,0))</f>
        <v>8.9499999999999993</v>
      </c>
    </row>
    <row r="936" spans="1:12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>
        <f>IF(_xlfn.XLOOKUP(orders!C936,customers!$A:$A,customers!$C:$C,,0)=0,"",_xlfn.XLOOKUP(orders!C936,customers!$A:$A,customers!$C:$C,,0))</f>
        <v>rcuttspy@techcrunch.com</v>
      </c>
      <c r="H936" s="2" t="str">
        <f>_xlfn.XLOOKUP(C936,customers!$A:$A,customers!$G:$G,,0)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>
        <f>INDEX(products!$A$1:$G$49,MATCH(orders!$D936,products!$A$1:$A$49,0),MATCH(orders!K$1,products!$A$1:$G$1,0))</f>
        <v>2.5</v>
      </c>
      <c r="L936">
        <f>INDEX(products!$A$1:$G$49,MATCH(orders!$D936,products!$A$1:$A$49,0),MATCH(orders!L$1,products!$A$1:$G$1,0))</f>
        <v>22.884999999999998</v>
      </c>
    </row>
    <row r="937" spans="1:12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>
        <f>IF(_xlfn.XLOOKUP(orders!C937,customers!$A:$A,customers!$C:$C,,0)=0,"",_xlfn.XLOOKUP(orders!C937,customers!$A:$A,customers!$C:$C,,0))</f>
        <v>mdelvespz@nature.com</v>
      </c>
      <c r="H937" s="2" t="str">
        <f>_xlfn.XLOOKUP(C937,customers!$A:$A,customers!$G:$G,,0)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>
        <f>INDEX(products!$A$1:$G$49,MATCH(orders!$D937,products!$A$1:$A$49,0),MATCH(orders!K$1,products!$A$1:$G$1,0))</f>
        <v>2.5</v>
      </c>
      <c r="L937">
        <f>INDEX(products!$A$1:$G$49,MATCH(orders!$D937,products!$A$1:$A$49,0),MATCH(orders!L$1,products!$A$1:$G$1,0))</f>
        <v>25.874999999999996</v>
      </c>
    </row>
    <row r="938" spans="1:12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>
        <f>IF(_xlfn.XLOOKUP(orders!C938,customers!$A:$A,customers!$C:$C,,0)=0,"",_xlfn.XLOOKUP(orders!C938,customers!$A:$A,customers!$C:$C,,0))</f>
        <v>dgrittonq0@nydailynews.com</v>
      </c>
      <c r="H938" s="2" t="str">
        <f>_xlfn.XLOOKUP(C938,customers!$A:$A,customers!$G:$G,,0)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>
        <f>INDEX(products!$A$1:$G$49,MATCH(orders!$D938,products!$A$1:$A$49,0),MATCH(orders!K$1,products!$A$1:$G$1,0))</f>
        <v>0.5</v>
      </c>
      <c r="L938">
        <f>INDEX(products!$A$1:$G$49,MATCH(orders!$D938,products!$A$1:$A$49,0),MATCH(orders!L$1,products!$A$1:$G$1,0))</f>
        <v>7.77</v>
      </c>
    </row>
    <row r="939" spans="1:12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>
        <f>IF(_xlfn.XLOOKUP(orders!C939,customers!$A:$A,customers!$C:$C,,0)=0,"",_xlfn.XLOOKUP(orders!C939,customers!$A:$A,customers!$C:$C,,0))</f>
        <v>dgrittonq0@nydailynews.com</v>
      </c>
      <c r="H939" s="2" t="str">
        <f>_xlfn.XLOOKUP(C939,customers!$A:$A,customers!$G:$G,,0)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>
        <f>INDEX(products!$A$1:$G$49,MATCH(orders!$D939,products!$A$1:$A$49,0),MATCH(orders!K$1,products!$A$1:$G$1,0))</f>
        <v>2.5</v>
      </c>
      <c r="L939">
        <f>INDEX(products!$A$1:$G$49,MATCH(orders!$D939,products!$A$1:$A$49,0),MATCH(orders!L$1,products!$A$1:$G$1,0))</f>
        <v>22.884999999999998</v>
      </c>
    </row>
    <row r="940" spans="1:12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>
        <f>IF(_xlfn.XLOOKUP(orders!C940,customers!$A:$A,customers!$C:$C,,0)=0,"",_xlfn.XLOOKUP(orders!C940,customers!$A:$A,customers!$C:$C,,0))</f>
        <v>dgutq2@umich.edu</v>
      </c>
      <c r="H940" s="2" t="str">
        <f>_xlfn.XLOOKUP(C940,customers!$A:$A,customers!$G:$G,,0)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>
        <f>INDEX(products!$A$1:$G$49,MATCH(orders!$D940,products!$A$1:$A$49,0),MATCH(orders!K$1,products!$A$1:$G$1,0))</f>
        <v>1</v>
      </c>
      <c r="L940">
        <f>INDEX(products!$A$1:$G$49,MATCH(orders!$D940,products!$A$1:$A$49,0),MATCH(orders!L$1,products!$A$1:$G$1,0))</f>
        <v>14.85</v>
      </c>
    </row>
    <row r="941" spans="1:12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>
        <f>IF(_xlfn.XLOOKUP(orders!C941,customers!$A:$A,customers!$C:$C,,0)=0,"",_xlfn.XLOOKUP(orders!C941,customers!$A:$A,customers!$C:$C,,0))</f>
        <v>wpummeryq3@topsy.com</v>
      </c>
      <c r="H941" s="2" t="str">
        <f>_xlfn.XLOOKUP(C941,customers!$A:$A,customers!$G:$G,,0)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>
        <f>INDEX(products!$A$1:$G$49,MATCH(orders!$D941,products!$A$1:$A$49,0),MATCH(orders!K$1,products!$A$1:$G$1,0))</f>
        <v>0.2</v>
      </c>
      <c r="L941">
        <f>INDEX(products!$A$1:$G$49,MATCH(orders!$D941,products!$A$1:$A$49,0),MATCH(orders!L$1,products!$A$1:$G$1,0))</f>
        <v>4.7549999999999999</v>
      </c>
    </row>
    <row r="942" spans="1:12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>
        <f>IF(_xlfn.XLOOKUP(orders!C942,customers!$A:$A,customers!$C:$C,,0)=0,"",_xlfn.XLOOKUP(orders!C942,customers!$A:$A,customers!$C:$C,,0))</f>
        <v>gsiudaq4@nytimes.com</v>
      </c>
      <c r="H942" s="2" t="str">
        <f>_xlfn.XLOOKUP(C942,customers!$A:$A,customers!$G:$G,,0)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>
        <f>INDEX(products!$A$1:$G$49,MATCH(orders!$D942,products!$A$1:$A$49,0),MATCH(orders!K$1,products!$A$1:$G$1,0))</f>
        <v>0.5</v>
      </c>
      <c r="L942">
        <f>INDEX(products!$A$1:$G$49,MATCH(orders!$D942,products!$A$1:$A$49,0),MATCH(orders!L$1,products!$A$1:$G$1,0))</f>
        <v>7.169999999999999</v>
      </c>
    </row>
    <row r="943" spans="1:12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>
        <f>IF(_xlfn.XLOOKUP(orders!C943,customers!$A:$A,customers!$C:$C,,0)=0,"",_xlfn.XLOOKUP(orders!C943,customers!$A:$A,customers!$C:$C,,0))</f>
        <v>hcrowneq5@wufoo.com</v>
      </c>
      <c r="H943" s="2" t="str">
        <f>_xlfn.XLOOKUP(C943,customers!$A:$A,customers!$G:$G,,0)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>
        <f>INDEX(products!$A$1:$G$49,MATCH(orders!$D943,products!$A$1:$A$49,0),MATCH(orders!K$1,products!$A$1:$G$1,0))</f>
        <v>0.5</v>
      </c>
      <c r="L943">
        <f>INDEX(products!$A$1:$G$49,MATCH(orders!$D943,products!$A$1:$A$49,0),MATCH(orders!L$1,products!$A$1:$G$1,0))</f>
        <v>7.77</v>
      </c>
    </row>
    <row r="944" spans="1:12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>
        <f>IF(_xlfn.XLOOKUP(orders!C944,customers!$A:$A,customers!$C:$C,,0)=0,"",_xlfn.XLOOKUP(orders!C944,customers!$A:$A,customers!$C:$C,,0))</f>
        <v>vpawseyq6@tiny.cc</v>
      </c>
      <c r="H944" s="2" t="str">
        <f>_xlfn.XLOOKUP(C944,customers!$A:$A,customers!$G:$G,,0)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>
        <f>INDEX(products!$A$1:$G$49,MATCH(orders!$D944,products!$A$1:$A$49,0),MATCH(orders!K$1,products!$A$1:$G$1,0))</f>
        <v>1</v>
      </c>
      <c r="L944">
        <f>INDEX(products!$A$1:$G$49,MATCH(orders!$D944,products!$A$1:$A$49,0),MATCH(orders!L$1,products!$A$1:$G$1,0))</f>
        <v>11.95</v>
      </c>
    </row>
    <row r="945" spans="1:12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>
        <f>IF(_xlfn.XLOOKUP(orders!C945,customers!$A:$A,customers!$C:$C,,0)=0,"",_xlfn.XLOOKUP(orders!C945,customers!$A:$A,customers!$C:$C,,0))</f>
        <v>awaterhouseq7@istockphoto.com</v>
      </c>
      <c r="H945" s="2" t="str">
        <f>_xlfn.XLOOKUP(C945,customers!$A:$A,customers!$G:$G,,0)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>
        <f>INDEX(products!$A$1:$G$49,MATCH(orders!$D945,products!$A$1:$A$49,0),MATCH(orders!K$1,products!$A$1:$G$1,0))</f>
        <v>0.5</v>
      </c>
      <c r="L945">
        <f>INDEX(products!$A$1:$G$49,MATCH(orders!$D945,products!$A$1:$A$49,0),MATCH(orders!L$1,products!$A$1:$G$1,0))</f>
        <v>7.77</v>
      </c>
    </row>
    <row r="946" spans="1:12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>
        <f>IF(_xlfn.XLOOKUP(orders!C946,customers!$A:$A,customers!$C:$C,,0)=0,"",_xlfn.XLOOKUP(orders!C946,customers!$A:$A,customers!$C:$C,,0))</f>
        <v>fhaughianq8@1688.com</v>
      </c>
      <c r="H946" s="2" t="str">
        <f>_xlfn.XLOOKUP(C946,customers!$A:$A,customers!$G:$G,,0)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>
        <f>INDEX(products!$A$1:$G$49,MATCH(orders!$D946,products!$A$1:$A$49,0),MATCH(orders!K$1,products!$A$1:$G$1,0))</f>
        <v>0.5</v>
      </c>
      <c r="L946">
        <f>INDEX(products!$A$1:$G$49,MATCH(orders!$D946,products!$A$1:$A$49,0),MATCH(orders!L$1,products!$A$1:$G$1,0))</f>
        <v>7.169999999999999</v>
      </c>
    </row>
    <row r="947" spans="1:12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 t="str">
        <f>IF(_xlfn.XLOOKUP(orders!C947,customers!$A:$A,customers!$C:$C,,0)=0,"",_xlfn.XLOOKUP(orders!C947,customers!$A:$A,customers!$C:$C,,0))</f>
        <v/>
      </c>
      <c r="H947" s="2" t="str">
        <f>_xlfn.XLOOKUP(C947,customers!$A:$A,customers!$G:$G,,0)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>
        <f>INDEX(products!$A$1:$G$49,MATCH(orders!$D947,products!$A$1:$A$49,0),MATCH(orders!K$1,products!$A$1:$G$1,0))</f>
        <v>2.5</v>
      </c>
      <c r="L947">
        <f>INDEX(products!$A$1:$G$49,MATCH(orders!$D947,products!$A$1:$A$49,0),MATCH(orders!L$1,products!$A$1:$G$1,0))</f>
        <v>29.784999999999997</v>
      </c>
    </row>
    <row r="948" spans="1:12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 t="str">
        <f>IF(_xlfn.XLOOKUP(orders!C948,customers!$A:$A,customers!$C:$C,,0)=0,"",_xlfn.XLOOKUP(orders!C948,customers!$A:$A,customers!$C:$C,,0))</f>
        <v/>
      </c>
      <c r="H948" s="2" t="str">
        <f>_xlfn.XLOOKUP(C948,customers!$A:$A,customers!$G:$G,,0)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>
        <f>INDEX(products!$A$1:$G$49,MATCH(orders!$D948,products!$A$1:$A$49,0),MATCH(orders!K$1,products!$A$1:$G$1,0))</f>
        <v>0.5</v>
      </c>
      <c r="L948">
        <f>INDEX(products!$A$1:$G$49,MATCH(orders!$D948,products!$A$1:$A$49,0),MATCH(orders!L$1,products!$A$1:$G$1,0))</f>
        <v>7.77</v>
      </c>
    </row>
    <row r="949" spans="1:12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>
        <f>IF(_xlfn.XLOOKUP(orders!C949,customers!$A:$A,customers!$C:$C,,0)=0,"",_xlfn.XLOOKUP(orders!C949,customers!$A:$A,customers!$C:$C,,0))</f>
        <v>rfaltinqb@topsy.com</v>
      </c>
      <c r="H949" s="2" t="str">
        <f>_xlfn.XLOOKUP(C949,customers!$A:$A,customers!$G:$G,,0)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>
        <f>INDEX(products!$A$1:$G$49,MATCH(orders!$D949,products!$A$1:$A$49,0),MATCH(orders!K$1,products!$A$1:$G$1,0))</f>
        <v>1</v>
      </c>
      <c r="L949">
        <f>INDEX(products!$A$1:$G$49,MATCH(orders!$D949,products!$A$1:$A$49,0),MATCH(orders!L$1,products!$A$1:$G$1,0))</f>
        <v>11.25</v>
      </c>
    </row>
    <row r="950" spans="1:12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>
        <f>IF(_xlfn.XLOOKUP(orders!C950,customers!$A:$A,customers!$C:$C,,0)=0,"",_xlfn.XLOOKUP(orders!C950,customers!$A:$A,customers!$C:$C,,0))</f>
        <v>gcheekeqc@sitemeter.com</v>
      </c>
      <c r="H950" s="2" t="str">
        <f>_xlfn.XLOOKUP(C950,customers!$A:$A,customers!$G:$G,,0)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>
        <f>INDEX(products!$A$1:$G$49,MATCH(orders!$D950,products!$A$1:$A$49,0),MATCH(orders!K$1,products!$A$1:$G$1,0))</f>
        <v>2.5</v>
      </c>
      <c r="L950">
        <f>INDEX(products!$A$1:$G$49,MATCH(orders!$D950,products!$A$1:$A$49,0),MATCH(orders!L$1,products!$A$1:$G$1,0))</f>
        <v>27.945</v>
      </c>
    </row>
    <row r="951" spans="1:12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>
        <f>IF(_xlfn.XLOOKUP(orders!C951,customers!$A:$A,customers!$C:$C,,0)=0,"",_xlfn.XLOOKUP(orders!C951,customers!$A:$A,customers!$C:$C,,0))</f>
        <v>grattqd@phpbb.com</v>
      </c>
      <c r="H951" s="2" t="str">
        <f>_xlfn.XLOOKUP(C951,customers!$A:$A,customers!$G:$G,,0)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>
        <f>INDEX(products!$A$1:$G$49,MATCH(orders!$D951,products!$A$1:$A$49,0),MATCH(orders!K$1,products!$A$1:$G$1,0))</f>
        <v>2.5</v>
      </c>
      <c r="L951">
        <f>INDEX(products!$A$1:$G$49,MATCH(orders!$D951,products!$A$1:$A$49,0),MATCH(orders!L$1,products!$A$1:$G$1,0))</f>
        <v>27.484999999999996</v>
      </c>
    </row>
    <row r="952" spans="1:12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 t="str">
        <f>IF(_xlfn.XLOOKUP(orders!C952,customers!$A:$A,customers!$C:$C,,0)=0,"",_xlfn.XLOOKUP(orders!C952,customers!$A:$A,customers!$C:$C,,0))</f>
        <v/>
      </c>
      <c r="H952" s="2" t="str">
        <f>_xlfn.XLOOKUP(C952,customers!$A:$A,customers!$G:$G,,0)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>
        <f>INDEX(products!$A$1:$G$49,MATCH(orders!$D952,products!$A$1:$A$49,0),MATCH(orders!K$1,products!$A$1:$G$1,0))</f>
        <v>0.2</v>
      </c>
      <c r="L952">
        <f>INDEX(products!$A$1:$G$49,MATCH(orders!$D952,products!$A$1:$A$49,0),MATCH(orders!L$1,products!$A$1:$G$1,0))</f>
        <v>3.5849999999999995</v>
      </c>
    </row>
    <row r="953" spans="1:12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>
        <f>IF(_xlfn.XLOOKUP(orders!C953,customers!$A:$A,customers!$C:$C,,0)=0,"",_xlfn.XLOOKUP(orders!C953,customers!$A:$A,customers!$C:$C,,0))</f>
        <v>ieberleinqf@hc360.com</v>
      </c>
      <c r="H953" s="2" t="str">
        <f>_xlfn.XLOOKUP(C953,customers!$A:$A,customers!$G:$G,,0)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>
        <f>INDEX(products!$A$1:$G$49,MATCH(orders!$D953,products!$A$1:$A$49,0),MATCH(orders!K$1,products!$A$1:$G$1,0))</f>
        <v>0.2</v>
      </c>
      <c r="L953">
        <f>INDEX(products!$A$1:$G$49,MATCH(orders!$D953,products!$A$1:$A$49,0),MATCH(orders!L$1,products!$A$1:$G$1,0))</f>
        <v>3.5849999999999995</v>
      </c>
    </row>
    <row r="954" spans="1:12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>
        <f>IF(_xlfn.XLOOKUP(orders!C954,customers!$A:$A,customers!$C:$C,,0)=0,"",_xlfn.XLOOKUP(orders!C954,customers!$A:$A,customers!$C:$C,,0))</f>
        <v>jdrengqg@uiuc.edu</v>
      </c>
      <c r="H954" s="2" t="str">
        <f>_xlfn.XLOOKUP(C954,customers!$A:$A,customers!$G:$G,,0)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>
        <f>INDEX(products!$A$1:$G$49,MATCH(orders!$D954,products!$A$1:$A$49,0),MATCH(orders!K$1,products!$A$1:$G$1,0))</f>
        <v>1</v>
      </c>
      <c r="L954">
        <f>INDEX(products!$A$1:$G$49,MATCH(orders!$D954,products!$A$1:$A$49,0),MATCH(orders!L$1,products!$A$1:$G$1,0))</f>
        <v>11.25</v>
      </c>
    </row>
    <row r="955" spans="1:12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 t="str">
        <f>IF(_xlfn.XLOOKUP(orders!C955,customers!$A:$A,customers!$C:$C,,0)=0,"",_xlfn.XLOOKUP(orders!C955,customers!$A:$A,customers!$C:$C,,0))</f>
        <v/>
      </c>
      <c r="H955" s="2" t="str">
        <f>_xlfn.XLOOKUP(C955,customers!$A:$A,customers!$G:$G,,0)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>
        <f>INDEX(products!$A$1:$G$49,MATCH(orders!$D955,products!$A$1:$A$49,0),MATCH(orders!K$1,products!$A$1:$G$1,0))</f>
        <v>0.2</v>
      </c>
      <c r="L955">
        <f>INDEX(products!$A$1:$G$49,MATCH(orders!$D955,products!$A$1:$A$49,0),MATCH(orders!L$1,products!$A$1:$G$1,0))</f>
        <v>3.8849999999999998</v>
      </c>
    </row>
    <row r="956" spans="1:12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 t="str">
        <f>IF(_xlfn.XLOOKUP(orders!C956,customers!$A:$A,customers!$C:$C,,0)=0,"",_xlfn.XLOOKUP(orders!C956,customers!$A:$A,customers!$C:$C,,0))</f>
        <v/>
      </c>
      <c r="H956" s="2" t="str">
        <f>_xlfn.XLOOKUP(C956,customers!$A:$A,customers!$G:$G,,0)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>
        <f>INDEX(products!$A$1:$G$49,MATCH(orders!$D956,products!$A$1:$A$49,0),MATCH(orders!K$1,products!$A$1:$G$1,0))</f>
        <v>2.5</v>
      </c>
      <c r="L956">
        <f>INDEX(products!$A$1:$G$49,MATCH(orders!$D956,products!$A$1:$A$49,0),MATCH(orders!L$1,products!$A$1:$G$1,0))</f>
        <v>27.945</v>
      </c>
    </row>
    <row r="957" spans="1:12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 t="str">
        <f>IF(_xlfn.XLOOKUP(orders!C957,customers!$A:$A,customers!$C:$C,,0)=0,"",_xlfn.XLOOKUP(orders!C957,customers!$A:$A,customers!$C:$C,,0))</f>
        <v/>
      </c>
      <c r="H957" s="2" t="str">
        <f>_xlfn.XLOOKUP(C957,customers!$A:$A,customers!$G:$G,,0)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>
        <f>INDEX(products!$A$1:$G$49,MATCH(orders!$D957,products!$A$1:$A$49,0),MATCH(orders!K$1,products!$A$1:$G$1,0))</f>
        <v>2.5</v>
      </c>
      <c r="L957">
        <f>INDEX(products!$A$1:$G$49,MATCH(orders!$D957,products!$A$1:$A$49,0),MATCH(orders!L$1,products!$A$1:$G$1,0))</f>
        <v>34.154999999999994</v>
      </c>
    </row>
    <row r="958" spans="1:12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 t="str">
        <f>IF(_xlfn.XLOOKUP(orders!C958,customers!$A:$A,customers!$C:$C,,0)=0,"",_xlfn.XLOOKUP(orders!C958,customers!$A:$A,customers!$C:$C,,0))</f>
        <v/>
      </c>
      <c r="H958" s="2" t="str">
        <f>_xlfn.XLOOKUP(C958,customers!$A:$A,customers!$G:$G,,0)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>
        <f>INDEX(products!$A$1:$G$49,MATCH(orders!$D958,products!$A$1:$A$49,0),MATCH(orders!K$1,products!$A$1:$G$1,0))</f>
        <v>2.5</v>
      </c>
      <c r="L958">
        <f>INDEX(products!$A$1:$G$49,MATCH(orders!$D958,products!$A$1:$A$49,0),MATCH(orders!L$1,products!$A$1:$G$1,0))</f>
        <v>27.484999999999996</v>
      </c>
    </row>
    <row r="959" spans="1:12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 t="str">
        <f>IF(_xlfn.XLOOKUP(orders!C959,customers!$A:$A,customers!$C:$C,,0)=0,"",_xlfn.XLOOKUP(orders!C959,customers!$A:$A,customers!$C:$C,,0))</f>
        <v/>
      </c>
      <c r="H959" s="2" t="str">
        <f>_xlfn.XLOOKUP(C959,customers!$A:$A,customers!$G:$G,,0)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>
        <f>INDEX(products!$A$1:$G$49,MATCH(orders!$D959,products!$A$1:$A$49,0),MATCH(orders!K$1,products!$A$1:$G$1,0))</f>
        <v>1</v>
      </c>
      <c r="L959">
        <f>INDEX(products!$A$1:$G$49,MATCH(orders!$D959,products!$A$1:$A$49,0),MATCH(orders!L$1,products!$A$1:$G$1,0))</f>
        <v>14.85</v>
      </c>
    </row>
    <row r="960" spans="1:12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 t="str">
        <f>IF(_xlfn.XLOOKUP(orders!C960,customers!$A:$A,customers!$C:$C,,0)=0,"",_xlfn.XLOOKUP(orders!C960,customers!$A:$A,customers!$C:$C,,0))</f>
        <v/>
      </c>
      <c r="H960" s="2" t="str">
        <f>_xlfn.XLOOKUP(C960,customers!$A:$A,customers!$G:$G,,0)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>
        <f>INDEX(products!$A$1:$G$49,MATCH(orders!$D960,products!$A$1:$A$49,0),MATCH(orders!K$1,products!$A$1:$G$1,0))</f>
        <v>0.2</v>
      </c>
      <c r="L960">
        <f>INDEX(products!$A$1:$G$49,MATCH(orders!$D960,products!$A$1:$A$49,0),MATCH(orders!L$1,products!$A$1:$G$1,0))</f>
        <v>3.8849999999999998</v>
      </c>
    </row>
    <row r="961" spans="1:12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>
        <f>IF(_xlfn.XLOOKUP(orders!C961,customers!$A:$A,customers!$C:$C,,0)=0,"",_xlfn.XLOOKUP(orders!C961,customers!$A:$A,customers!$C:$C,,0))</f>
        <v>rstrathernqn@devhub.com</v>
      </c>
      <c r="H961" s="2" t="str">
        <f>_xlfn.XLOOKUP(C961,customers!$A:$A,customers!$G:$G,,0)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>
        <f>INDEX(products!$A$1:$G$49,MATCH(orders!$D961,products!$A$1:$A$49,0),MATCH(orders!K$1,products!$A$1:$G$1,0))</f>
        <v>0.2</v>
      </c>
      <c r="L961">
        <f>INDEX(products!$A$1:$G$49,MATCH(orders!$D961,products!$A$1:$A$49,0),MATCH(orders!L$1,products!$A$1:$G$1,0))</f>
        <v>4.7549999999999999</v>
      </c>
    </row>
    <row r="962" spans="1:12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>
        <f>IF(_xlfn.XLOOKUP(orders!C962,customers!$A:$A,customers!$C:$C,,0)=0,"",_xlfn.XLOOKUP(orders!C962,customers!$A:$A,customers!$C:$C,,0))</f>
        <v>cmiguelqo@exblog.jp</v>
      </c>
      <c r="H962" s="2" t="str">
        <f>_xlfn.XLOOKUP(C962,customers!$A:$A,customers!$G:$G,,0)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>
        <f>INDEX(products!$A$1:$G$49,MATCH(orders!$D962,products!$A$1:$A$49,0),MATCH(orders!K$1,products!$A$1:$G$1,0))</f>
        <v>1</v>
      </c>
      <c r="L962">
        <f>INDEX(products!$A$1:$G$49,MATCH(orders!$D962,products!$A$1:$A$49,0),MATCH(orders!L$1,products!$A$1:$G$1,0))</f>
        <v>15.85</v>
      </c>
    </row>
    <row r="963" spans="1:12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 t="str">
        <f>IF(_xlfn.XLOOKUP(orders!C963,customers!$A:$A,customers!$C:$C,,0)=0,"",_xlfn.XLOOKUP(orders!C963,customers!$A:$A,customers!$C:$C,,0))</f>
        <v/>
      </c>
      <c r="H963" s="2" t="str">
        <f>_xlfn.XLOOKUP(C963,customers!$A:$A,customers!$G:$G,,0)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>
        <f>INDEX(products!$A$1:$G$49,MATCH(orders!$D963,products!$A$1:$A$49,0),MATCH(orders!K$1,products!$A$1:$G$1,0))</f>
        <v>2.5</v>
      </c>
      <c r="L963">
        <f>INDEX(products!$A$1:$G$49,MATCH(orders!$D963,products!$A$1:$A$49,0),MATCH(orders!L$1,products!$A$1:$G$1,0))</f>
        <v>22.884999999999998</v>
      </c>
    </row>
    <row r="964" spans="1:12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>
        <f>IF(_xlfn.XLOOKUP(orders!C964,customers!$A:$A,customers!$C:$C,,0)=0,"",_xlfn.XLOOKUP(orders!C964,customers!$A:$A,customers!$C:$C,,0))</f>
        <v>mrocksqq@exblog.jp</v>
      </c>
      <c r="H964" s="2" t="str">
        <f>_xlfn.XLOOKUP(C964,customers!$A:$A,customers!$G:$G,,0)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>
        <f>INDEX(products!$A$1:$G$49,MATCH(orders!$D964,products!$A$1:$A$49,0),MATCH(orders!K$1,products!$A$1:$G$1,0))</f>
        <v>1</v>
      </c>
      <c r="L964">
        <f>INDEX(products!$A$1:$G$49,MATCH(orders!$D964,products!$A$1:$A$49,0),MATCH(orders!L$1,products!$A$1:$G$1,0))</f>
        <v>8.9499999999999993</v>
      </c>
    </row>
    <row r="965" spans="1:12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>
        <f>IF(_xlfn.XLOOKUP(orders!C965,customers!$A:$A,customers!$C:$C,,0)=0,"",_xlfn.XLOOKUP(orders!C965,customers!$A:$A,customers!$C:$C,,0))</f>
        <v>yburrellsqr@vinaora.com</v>
      </c>
      <c r="H965" s="2" t="str">
        <f>_xlfn.XLOOKUP(C965,customers!$A:$A,customers!$G:$G,,0)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>
        <f>INDEX(products!$A$1:$G$49,MATCH(orders!$D965,products!$A$1:$A$49,0),MATCH(orders!K$1,products!$A$1:$G$1,0))</f>
        <v>0.5</v>
      </c>
      <c r="L965">
        <f>INDEX(products!$A$1:$G$49,MATCH(orders!$D965,products!$A$1:$A$49,0),MATCH(orders!L$1,products!$A$1:$G$1,0))</f>
        <v>5.97</v>
      </c>
    </row>
    <row r="966" spans="1:12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>
        <f>IF(_xlfn.XLOOKUP(orders!C966,customers!$A:$A,customers!$C:$C,,0)=0,"",_xlfn.XLOOKUP(orders!C966,customers!$A:$A,customers!$C:$C,,0))</f>
        <v>cgoodrumqs@goodreads.com</v>
      </c>
      <c r="H966" s="2" t="str">
        <f>_xlfn.XLOOKUP(C966,customers!$A:$A,customers!$G:$G,,0)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>
        <f>INDEX(products!$A$1:$G$49,MATCH(orders!$D966,products!$A$1:$A$49,0),MATCH(orders!K$1,products!$A$1:$G$1,0))</f>
        <v>0.2</v>
      </c>
      <c r="L966">
        <f>INDEX(products!$A$1:$G$49,MATCH(orders!$D966,products!$A$1:$A$49,0),MATCH(orders!L$1,products!$A$1:$G$1,0))</f>
        <v>4.4550000000000001</v>
      </c>
    </row>
    <row r="967" spans="1:12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>
        <f>IF(_xlfn.XLOOKUP(orders!C967,customers!$A:$A,customers!$C:$C,,0)=0,"",_xlfn.XLOOKUP(orders!C967,customers!$A:$A,customers!$C:$C,,0))</f>
        <v>jjefferysqt@blog.com</v>
      </c>
      <c r="H967" s="2" t="str">
        <f>_xlfn.XLOOKUP(C967,customers!$A:$A,customers!$G:$G,,0)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>
        <f>INDEX(products!$A$1:$G$49,MATCH(orders!$D967,products!$A$1:$A$49,0),MATCH(orders!K$1,products!$A$1:$G$1,0))</f>
        <v>1</v>
      </c>
      <c r="L967">
        <f>INDEX(products!$A$1:$G$49,MATCH(orders!$D967,products!$A$1:$A$49,0),MATCH(orders!L$1,products!$A$1:$G$1,0))</f>
        <v>9.9499999999999993</v>
      </c>
    </row>
    <row r="968" spans="1:12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>
        <f>IF(_xlfn.XLOOKUP(orders!C968,customers!$A:$A,customers!$C:$C,,0)=0,"",_xlfn.XLOOKUP(orders!C968,customers!$A:$A,customers!$C:$C,,0))</f>
        <v>bwardellqu@adobe.com</v>
      </c>
      <c r="H968" s="2" t="str">
        <f>_xlfn.XLOOKUP(C968,customers!$A:$A,customers!$G:$G,,0)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>
        <f>INDEX(products!$A$1:$G$49,MATCH(orders!$D968,products!$A$1:$A$49,0),MATCH(orders!K$1,products!$A$1:$G$1,0))</f>
        <v>0.5</v>
      </c>
      <c r="L968">
        <f>INDEX(products!$A$1:$G$49,MATCH(orders!$D968,products!$A$1:$A$49,0),MATCH(orders!L$1,products!$A$1:$G$1,0))</f>
        <v>8.91</v>
      </c>
    </row>
    <row r="969" spans="1:12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>
        <f>IF(_xlfn.XLOOKUP(orders!C969,customers!$A:$A,customers!$C:$C,,0)=0,"",_xlfn.XLOOKUP(orders!C969,customers!$A:$A,customers!$C:$C,,0))</f>
        <v>zwalisiakqv@ucsd.edu</v>
      </c>
      <c r="H969" s="2" t="str">
        <f>_xlfn.XLOOKUP(C969,customers!$A:$A,customers!$G:$G,,0)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>
        <f>INDEX(products!$A$1:$G$49,MATCH(orders!$D969,products!$A$1:$A$49,0),MATCH(orders!K$1,products!$A$1:$G$1,0))</f>
        <v>0.2</v>
      </c>
      <c r="L969">
        <f>INDEX(products!$A$1:$G$49,MATCH(orders!$D969,products!$A$1:$A$49,0),MATCH(orders!L$1,products!$A$1:$G$1,0))</f>
        <v>2.6849999999999996</v>
      </c>
    </row>
    <row r="970" spans="1:12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>
        <f>IF(_xlfn.XLOOKUP(orders!C970,customers!$A:$A,customers!$C:$C,,0)=0,"",_xlfn.XLOOKUP(orders!C970,customers!$A:$A,customers!$C:$C,,0))</f>
        <v>wleopoldqw@blogspot.com</v>
      </c>
      <c r="H970" s="2" t="str">
        <f>_xlfn.XLOOKUP(C970,customers!$A:$A,customers!$G:$G,,0)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>
        <f>INDEX(products!$A$1:$G$49,MATCH(orders!$D970,products!$A$1:$A$49,0),MATCH(orders!K$1,products!$A$1:$G$1,0))</f>
        <v>0.2</v>
      </c>
      <c r="L970">
        <f>INDEX(products!$A$1:$G$49,MATCH(orders!$D970,products!$A$1:$A$49,0),MATCH(orders!L$1,products!$A$1:$G$1,0))</f>
        <v>2.9849999999999999</v>
      </c>
    </row>
    <row r="971" spans="1:12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>
        <f>IF(_xlfn.XLOOKUP(orders!C971,customers!$A:$A,customers!$C:$C,,0)=0,"",_xlfn.XLOOKUP(orders!C971,customers!$A:$A,customers!$C:$C,,0))</f>
        <v>cshaldersqx@cisco.com</v>
      </c>
      <c r="H971" s="2" t="str">
        <f>_xlfn.XLOOKUP(C971,customers!$A:$A,customers!$G:$G,,0)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>
        <f>INDEX(products!$A$1:$G$49,MATCH(orders!$D971,products!$A$1:$A$49,0),MATCH(orders!K$1,products!$A$1:$G$1,0))</f>
        <v>1</v>
      </c>
      <c r="L971">
        <f>INDEX(products!$A$1:$G$49,MATCH(orders!$D971,products!$A$1:$A$49,0),MATCH(orders!L$1,products!$A$1:$G$1,0))</f>
        <v>12.95</v>
      </c>
    </row>
    <row r="972" spans="1:12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 t="str">
        <f>IF(_xlfn.XLOOKUP(orders!C972,customers!$A:$A,customers!$C:$C,,0)=0,"",_xlfn.XLOOKUP(orders!C972,customers!$A:$A,customers!$C:$C,,0))</f>
        <v/>
      </c>
      <c r="H972" s="2" t="str">
        <f>_xlfn.XLOOKUP(C972,customers!$A:$A,customers!$G:$G,,0)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>
        <f>INDEX(products!$A$1:$G$49,MATCH(orders!$D972,products!$A$1:$A$49,0),MATCH(orders!K$1,products!$A$1:$G$1,0))</f>
        <v>0.5</v>
      </c>
      <c r="L972">
        <f>INDEX(products!$A$1:$G$49,MATCH(orders!$D972,products!$A$1:$A$49,0),MATCH(orders!L$1,products!$A$1:$G$1,0))</f>
        <v>8.25</v>
      </c>
    </row>
    <row r="973" spans="1:12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>
        <f>IF(_xlfn.XLOOKUP(orders!C973,customers!$A:$A,customers!$C:$C,,0)=0,"",_xlfn.XLOOKUP(orders!C973,customers!$A:$A,customers!$C:$C,,0))</f>
        <v>nfurberqz@jugem.jp</v>
      </c>
      <c r="H973" s="2" t="str">
        <f>_xlfn.XLOOKUP(C973,customers!$A:$A,customers!$G:$G,,0)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>
        <f>INDEX(products!$A$1:$G$49,MATCH(orders!$D973,products!$A$1:$A$49,0),MATCH(orders!K$1,products!$A$1:$G$1,0))</f>
        <v>2.5</v>
      </c>
      <c r="L973">
        <f>INDEX(products!$A$1:$G$49,MATCH(orders!$D973,products!$A$1:$A$49,0),MATCH(orders!L$1,products!$A$1:$G$1,0))</f>
        <v>29.784999999999997</v>
      </c>
    </row>
    <row r="974" spans="1:12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 t="str">
        <f>IF(_xlfn.XLOOKUP(orders!C974,customers!$A:$A,customers!$C:$C,,0)=0,"",_xlfn.XLOOKUP(orders!C974,customers!$A:$A,customers!$C:$C,,0))</f>
        <v/>
      </c>
      <c r="H974" s="2" t="str">
        <f>_xlfn.XLOOKUP(C974,customers!$A:$A,customers!$G:$G,,0)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>
        <f>INDEX(products!$A$1:$G$49,MATCH(orders!$D974,products!$A$1:$A$49,0),MATCH(orders!K$1,products!$A$1:$G$1,0))</f>
        <v>2.5</v>
      </c>
      <c r="L974">
        <f>INDEX(products!$A$1:$G$49,MATCH(orders!$D974,products!$A$1:$A$49,0),MATCH(orders!L$1,products!$A$1:$G$1,0))</f>
        <v>29.784999999999997</v>
      </c>
    </row>
    <row r="975" spans="1:12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>
        <f>IF(_xlfn.XLOOKUP(orders!C975,customers!$A:$A,customers!$C:$C,,0)=0,"",_xlfn.XLOOKUP(orders!C975,customers!$A:$A,customers!$C:$C,,0))</f>
        <v>ckeaver1@ucoz.com</v>
      </c>
      <c r="H975" s="2" t="str">
        <f>_xlfn.XLOOKUP(C975,customers!$A:$A,customers!$G:$G,,0)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>
        <f>INDEX(products!$A$1:$G$49,MATCH(orders!$D975,products!$A$1:$A$49,0),MATCH(orders!K$1,products!$A$1:$G$1,0))</f>
        <v>1</v>
      </c>
      <c r="L975">
        <f>INDEX(products!$A$1:$G$49,MATCH(orders!$D975,products!$A$1:$A$49,0),MATCH(orders!L$1,products!$A$1:$G$1,0))</f>
        <v>14.55</v>
      </c>
    </row>
    <row r="976" spans="1:12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>
        <f>IF(_xlfn.XLOOKUP(orders!C976,customers!$A:$A,customers!$C:$C,,0)=0,"",_xlfn.XLOOKUP(orders!C976,customers!$A:$A,customers!$C:$C,,0))</f>
        <v>sroseboroughr2@virginia.edu</v>
      </c>
      <c r="H976" s="2" t="str">
        <f>_xlfn.XLOOKUP(C976,customers!$A:$A,customers!$G:$G,,0)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>
        <f>INDEX(products!$A$1:$G$49,MATCH(orders!$D976,products!$A$1:$A$49,0),MATCH(orders!K$1,products!$A$1:$G$1,0))</f>
        <v>0.5</v>
      </c>
      <c r="L976">
        <f>INDEX(products!$A$1:$G$49,MATCH(orders!$D976,products!$A$1:$A$49,0),MATCH(orders!L$1,products!$A$1:$G$1,0))</f>
        <v>5.3699999999999992</v>
      </c>
    </row>
    <row r="977" spans="1:12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>
        <f>IF(_xlfn.XLOOKUP(orders!C977,customers!$A:$A,customers!$C:$C,,0)=0,"",_xlfn.XLOOKUP(orders!C977,customers!$A:$A,customers!$C:$C,,0))</f>
        <v>ckingwellr3@squarespace.com</v>
      </c>
      <c r="H977" s="2" t="str">
        <f>_xlfn.XLOOKUP(C977,customers!$A:$A,customers!$G:$G,,0)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>
        <f>INDEX(products!$A$1:$G$49,MATCH(orders!$D977,products!$A$1:$A$49,0),MATCH(orders!K$1,products!$A$1:$G$1,0))</f>
        <v>0.2</v>
      </c>
      <c r="L977">
        <f>INDEX(products!$A$1:$G$49,MATCH(orders!$D977,products!$A$1:$A$49,0),MATCH(orders!L$1,products!$A$1:$G$1,0))</f>
        <v>2.9849999999999999</v>
      </c>
    </row>
    <row r="978" spans="1:12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>
        <f>IF(_xlfn.XLOOKUP(orders!C978,customers!$A:$A,customers!$C:$C,,0)=0,"",_xlfn.XLOOKUP(orders!C978,customers!$A:$A,customers!$C:$C,,0))</f>
        <v>kcantor4@gmpg.org</v>
      </c>
      <c r="H978" s="2" t="str">
        <f>_xlfn.XLOOKUP(C978,customers!$A:$A,customers!$G:$G,,0)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>
        <f>INDEX(products!$A$1:$G$49,MATCH(orders!$D978,products!$A$1:$A$49,0),MATCH(orders!K$1,products!$A$1:$G$1,0))</f>
        <v>2.5</v>
      </c>
      <c r="L978">
        <f>INDEX(products!$A$1:$G$49,MATCH(orders!$D978,products!$A$1:$A$49,0),MATCH(orders!L$1,products!$A$1:$G$1,0))</f>
        <v>27.484999999999996</v>
      </c>
    </row>
    <row r="979" spans="1:12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>
        <f>IF(_xlfn.XLOOKUP(orders!C979,customers!$A:$A,customers!$C:$C,,0)=0,"",_xlfn.XLOOKUP(orders!C979,customers!$A:$A,customers!$C:$C,,0))</f>
        <v>mblakemorer5@nsw.gov.au</v>
      </c>
      <c r="H979" s="2" t="str">
        <f>_xlfn.XLOOKUP(C979,customers!$A:$A,customers!$G:$G,,0)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>
        <f>INDEX(products!$A$1:$G$49,MATCH(orders!$D979,products!$A$1:$A$49,0),MATCH(orders!K$1,products!$A$1:$G$1,0))</f>
        <v>1</v>
      </c>
      <c r="L979">
        <f>INDEX(products!$A$1:$G$49,MATCH(orders!$D979,products!$A$1:$A$49,0),MATCH(orders!L$1,products!$A$1:$G$1,0))</f>
        <v>11.95</v>
      </c>
    </row>
    <row r="980" spans="1:12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>
        <f>IF(_xlfn.XLOOKUP(orders!C980,customers!$A:$A,customers!$C:$C,,0)=0,"",_xlfn.XLOOKUP(orders!C980,customers!$A:$A,customers!$C:$C,,0))</f>
        <v>ckeaver1@ucoz.com</v>
      </c>
      <c r="H980" s="2" t="str">
        <f>_xlfn.XLOOKUP(C980,customers!$A:$A,customers!$G:$G,,0)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>
        <f>INDEX(products!$A$1:$G$49,MATCH(orders!$D980,products!$A$1:$A$49,0),MATCH(orders!K$1,products!$A$1:$G$1,0))</f>
        <v>0.5</v>
      </c>
      <c r="L980">
        <f>INDEX(products!$A$1:$G$49,MATCH(orders!$D980,products!$A$1:$A$49,0),MATCH(orders!L$1,products!$A$1:$G$1,0))</f>
        <v>7.77</v>
      </c>
    </row>
    <row r="981" spans="1:12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 t="str">
        <f>IF(_xlfn.XLOOKUP(orders!C981,customers!$A:$A,customers!$C:$C,,0)=0,"",_xlfn.XLOOKUP(orders!C981,customers!$A:$A,customers!$C:$C,,0))</f>
        <v/>
      </c>
      <c r="H981" s="2" t="str">
        <f>_xlfn.XLOOKUP(C981,customers!$A:$A,customers!$G:$G,,0)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>
        <f>INDEX(products!$A$1:$G$49,MATCH(orders!$D981,products!$A$1:$A$49,0),MATCH(orders!K$1,products!$A$1:$G$1,0))</f>
        <v>0.5</v>
      </c>
      <c r="L981">
        <f>INDEX(products!$A$1:$G$49,MATCH(orders!$D981,products!$A$1:$A$49,0),MATCH(orders!L$1,products!$A$1:$G$1,0))</f>
        <v>5.3699999999999992</v>
      </c>
    </row>
    <row r="982" spans="1:12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 t="str">
        <f>IF(_xlfn.XLOOKUP(orders!C982,customers!$A:$A,customers!$C:$C,,0)=0,"",_xlfn.XLOOKUP(orders!C982,customers!$A:$A,customers!$C:$C,,0))</f>
        <v/>
      </c>
      <c r="H982" s="2" t="str">
        <f>_xlfn.XLOOKUP(C982,customers!$A:$A,customers!$G:$G,,0)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>
        <f>INDEX(products!$A$1:$G$49,MATCH(orders!$D982,products!$A$1:$A$49,0),MATCH(orders!K$1,products!$A$1:$G$1,0))</f>
        <v>2.5</v>
      </c>
      <c r="L982">
        <f>INDEX(products!$A$1:$G$49,MATCH(orders!$D982,products!$A$1:$A$49,0),MATCH(orders!L$1,products!$A$1:$G$1,0))</f>
        <v>27.945</v>
      </c>
    </row>
    <row r="983" spans="1:12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>
        <f>IF(_xlfn.XLOOKUP(orders!C983,customers!$A:$A,customers!$C:$C,,0)=0,"",_xlfn.XLOOKUP(orders!C983,customers!$A:$A,customers!$C:$C,,0))</f>
        <v>cbernardotr9@wix.com</v>
      </c>
      <c r="H983" s="2" t="str">
        <f>_xlfn.XLOOKUP(C983,customers!$A:$A,customers!$G:$G,,0)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>
        <f>INDEX(products!$A$1:$G$49,MATCH(orders!$D983,products!$A$1:$A$49,0),MATCH(orders!K$1,products!$A$1:$G$1,0))</f>
        <v>0.2</v>
      </c>
      <c r="L983">
        <f>INDEX(products!$A$1:$G$49,MATCH(orders!$D983,products!$A$1:$A$49,0),MATCH(orders!L$1,products!$A$1:$G$1,0))</f>
        <v>3.645</v>
      </c>
    </row>
    <row r="984" spans="1:12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>
        <f>IF(_xlfn.XLOOKUP(orders!C984,customers!$A:$A,customers!$C:$C,,0)=0,"",_xlfn.XLOOKUP(orders!C984,customers!$A:$A,customers!$C:$C,,0))</f>
        <v>kkemeryra@t.co</v>
      </c>
      <c r="H984" s="2" t="str">
        <f>_xlfn.XLOOKUP(C984,customers!$A:$A,customers!$G:$G,,0)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>
        <f>INDEX(products!$A$1:$G$49,MATCH(orders!$D984,products!$A$1:$A$49,0),MATCH(orders!K$1,products!$A$1:$G$1,0))</f>
        <v>1</v>
      </c>
      <c r="L984">
        <f>INDEX(products!$A$1:$G$49,MATCH(orders!$D984,products!$A$1:$A$49,0),MATCH(orders!L$1,products!$A$1:$G$1,0))</f>
        <v>11.95</v>
      </c>
    </row>
    <row r="985" spans="1:12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>
        <f>IF(_xlfn.XLOOKUP(orders!C985,customers!$A:$A,customers!$C:$C,,0)=0,"",_xlfn.XLOOKUP(orders!C985,customers!$A:$A,customers!$C:$C,,0))</f>
        <v>fparlotrb@forbes.com</v>
      </c>
      <c r="H985" s="2" t="str">
        <f>_xlfn.XLOOKUP(C985,customers!$A:$A,customers!$G:$G,,0)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>
        <f>INDEX(products!$A$1:$G$49,MATCH(orders!$D985,products!$A$1:$A$49,0),MATCH(orders!K$1,products!$A$1:$G$1,0))</f>
        <v>0.2</v>
      </c>
      <c r="L985">
        <f>INDEX(products!$A$1:$G$49,MATCH(orders!$D985,products!$A$1:$A$49,0),MATCH(orders!L$1,products!$A$1:$G$1,0))</f>
        <v>3.375</v>
      </c>
    </row>
    <row r="986" spans="1:12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>
        <f>IF(_xlfn.XLOOKUP(orders!C986,customers!$A:$A,customers!$C:$C,,0)=0,"",_xlfn.XLOOKUP(orders!C986,customers!$A:$A,customers!$C:$C,,0))</f>
        <v>rcheakrc@tripadvisor.com</v>
      </c>
      <c r="H986" s="2" t="str">
        <f>_xlfn.XLOOKUP(C986,customers!$A:$A,customers!$G:$G,,0)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>
        <f>INDEX(products!$A$1:$G$49,MATCH(orders!$D986,products!$A$1:$A$49,0),MATCH(orders!K$1,products!$A$1:$G$1,0))</f>
        <v>2.5</v>
      </c>
      <c r="L986">
        <f>INDEX(products!$A$1:$G$49,MATCH(orders!$D986,products!$A$1:$A$49,0),MATCH(orders!L$1,products!$A$1:$G$1,0))</f>
        <v>31.624999999999996</v>
      </c>
    </row>
    <row r="987" spans="1:12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>
        <f>IF(_xlfn.XLOOKUP(orders!C987,customers!$A:$A,customers!$C:$C,,0)=0,"",_xlfn.XLOOKUP(orders!C987,customers!$A:$A,customers!$C:$C,,0))</f>
        <v>kogeneayrd@utexas.edu</v>
      </c>
      <c r="H987" s="2" t="str">
        <f>_xlfn.XLOOKUP(C987,customers!$A:$A,customers!$G:$G,,0)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>
        <f>INDEX(products!$A$1:$G$49,MATCH(orders!$D987,products!$A$1:$A$49,0),MATCH(orders!K$1,products!$A$1:$G$1,0))</f>
        <v>1</v>
      </c>
      <c r="L987">
        <f>INDEX(products!$A$1:$G$49,MATCH(orders!$D987,products!$A$1:$A$49,0),MATCH(orders!L$1,products!$A$1:$G$1,0))</f>
        <v>11.95</v>
      </c>
    </row>
    <row r="988" spans="1:12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>
        <f>IF(_xlfn.XLOOKUP(orders!C988,customers!$A:$A,customers!$C:$C,,0)=0,"",_xlfn.XLOOKUP(orders!C988,customers!$A:$A,customers!$C:$C,,0))</f>
        <v>cayrere@symantec.com</v>
      </c>
      <c r="H988" s="2" t="str">
        <f>_xlfn.XLOOKUP(C988,customers!$A:$A,customers!$G:$G,,0)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>
        <f>INDEX(products!$A$1:$G$49,MATCH(orders!$D988,products!$A$1:$A$49,0),MATCH(orders!K$1,products!$A$1:$G$1,0))</f>
        <v>2.5</v>
      </c>
      <c r="L988">
        <f>INDEX(products!$A$1:$G$49,MATCH(orders!$D988,products!$A$1:$A$49,0),MATCH(orders!L$1,products!$A$1:$G$1,0))</f>
        <v>33.464999999999996</v>
      </c>
    </row>
    <row r="989" spans="1:12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>
        <f>IF(_xlfn.XLOOKUP(orders!C989,customers!$A:$A,customers!$C:$C,,0)=0,"",_xlfn.XLOOKUP(orders!C989,customers!$A:$A,customers!$C:$C,,0))</f>
        <v>lkynetonrf@macromedia.com</v>
      </c>
      <c r="H989" s="2" t="str">
        <f>_xlfn.XLOOKUP(C989,customers!$A:$A,customers!$G:$G,,0)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>
        <f>INDEX(products!$A$1:$G$49,MATCH(orders!$D989,products!$A$1:$A$49,0),MATCH(orders!K$1,products!$A$1:$G$1,0))</f>
        <v>0.5</v>
      </c>
      <c r="L989">
        <f>INDEX(products!$A$1:$G$49,MATCH(orders!$D989,products!$A$1:$A$49,0),MATCH(orders!L$1,products!$A$1:$G$1,0))</f>
        <v>5.97</v>
      </c>
    </row>
    <row r="990" spans="1:12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 t="str">
        <f>IF(_xlfn.XLOOKUP(orders!C990,customers!$A:$A,customers!$C:$C,,0)=0,"",_xlfn.XLOOKUP(orders!C990,customers!$A:$A,customers!$C:$C,,0))</f>
        <v/>
      </c>
      <c r="H990" s="2" t="str">
        <f>_xlfn.XLOOKUP(C990,customers!$A:$A,customers!$G:$G,,0)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>
        <f>INDEX(products!$A$1:$G$49,MATCH(orders!$D990,products!$A$1:$A$49,0),MATCH(orders!K$1,products!$A$1:$G$1,0))</f>
        <v>1</v>
      </c>
      <c r="L990">
        <f>INDEX(products!$A$1:$G$49,MATCH(orders!$D990,products!$A$1:$A$49,0),MATCH(orders!L$1,products!$A$1:$G$1,0))</f>
        <v>9.9499999999999993</v>
      </c>
    </row>
    <row r="991" spans="1:12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 t="str">
        <f>IF(_xlfn.XLOOKUP(orders!C991,customers!$A:$A,customers!$C:$C,,0)=0,"",_xlfn.XLOOKUP(orders!C991,customers!$A:$A,customers!$C:$C,,0))</f>
        <v/>
      </c>
      <c r="H991" s="2" t="str">
        <f>_xlfn.XLOOKUP(C991,customers!$A:$A,customers!$G:$G,,0)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>
        <f>INDEX(products!$A$1:$G$49,MATCH(orders!$D991,products!$A$1:$A$49,0),MATCH(orders!K$1,products!$A$1:$G$1,0))</f>
        <v>2.5</v>
      </c>
      <c r="L991">
        <f>INDEX(products!$A$1:$G$49,MATCH(orders!$D991,products!$A$1:$A$49,0),MATCH(orders!L$1,products!$A$1:$G$1,0))</f>
        <v>25.874999999999996</v>
      </c>
    </row>
    <row r="992" spans="1:12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 t="str">
        <f>IF(_xlfn.XLOOKUP(orders!C992,customers!$A:$A,customers!$C:$C,,0)=0,"",_xlfn.XLOOKUP(orders!C992,customers!$A:$A,customers!$C:$C,,0))</f>
        <v/>
      </c>
      <c r="H992" s="2" t="str">
        <f>_xlfn.XLOOKUP(C992,customers!$A:$A,customers!$G:$G,,0)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>
        <f>INDEX(products!$A$1:$G$49,MATCH(orders!$D992,products!$A$1:$A$49,0),MATCH(orders!K$1,products!$A$1:$G$1,0))</f>
        <v>0.2</v>
      </c>
      <c r="L992">
        <f>INDEX(products!$A$1:$G$49,MATCH(orders!$D992,products!$A$1:$A$49,0),MATCH(orders!L$1,products!$A$1:$G$1,0))</f>
        <v>3.645</v>
      </c>
    </row>
    <row r="993" spans="1:12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 t="str">
        <f>IF(_xlfn.XLOOKUP(orders!C993,customers!$A:$A,customers!$C:$C,,0)=0,"",_xlfn.XLOOKUP(orders!C993,customers!$A:$A,customers!$C:$C,,0))</f>
        <v/>
      </c>
      <c r="H993" s="2" t="str">
        <f>_xlfn.XLOOKUP(C993,customers!$A:$A,customers!$G:$G,,0)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>
        <f>INDEX(products!$A$1:$G$49,MATCH(orders!$D993,products!$A$1:$A$49,0),MATCH(orders!K$1,products!$A$1:$G$1,0))</f>
        <v>0.5</v>
      </c>
      <c r="L993">
        <f>INDEX(products!$A$1:$G$49,MATCH(orders!$D993,products!$A$1:$A$49,0),MATCH(orders!L$1,products!$A$1:$G$1,0))</f>
        <v>7.77</v>
      </c>
    </row>
    <row r="994" spans="1:12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 t="str">
        <f>IF(_xlfn.XLOOKUP(orders!C994,customers!$A:$A,customers!$C:$C,,0)=0,"",_xlfn.XLOOKUP(orders!C994,customers!$A:$A,customers!$C:$C,,0))</f>
        <v/>
      </c>
      <c r="H994" s="2" t="str">
        <f>_xlfn.XLOOKUP(C994,customers!$A:$A,customers!$G:$G,,0)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>
        <f>INDEX(products!$A$1:$G$49,MATCH(orders!$D994,products!$A$1:$A$49,0),MATCH(orders!K$1,products!$A$1:$G$1,0))</f>
        <v>2.5</v>
      </c>
      <c r="L994">
        <f>INDEX(products!$A$1:$G$49,MATCH(orders!$D994,products!$A$1:$A$49,0),MATCH(orders!L$1,products!$A$1:$G$1,0))</f>
        <v>36.454999999999998</v>
      </c>
    </row>
    <row r="995" spans="1:12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 t="str">
        <f>IF(_xlfn.XLOOKUP(orders!C995,customers!$A:$A,customers!$C:$C,,0)=0,"",_xlfn.XLOOKUP(orders!C995,customers!$A:$A,customers!$C:$C,,0))</f>
        <v/>
      </c>
      <c r="H995" s="2" t="str">
        <f>_xlfn.XLOOKUP(C995,customers!$A:$A,customers!$G:$G,,0)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>
        <f>INDEX(products!$A$1:$G$49,MATCH(orders!$D995,products!$A$1:$A$49,0),MATCH(orders!K$1,products!$A$1:$G$1,0))</f>
        <v>1</v>
      </c>
      <c r="L995">
        <f>INDEX(products!$A$1:$G$49,MATCH(orders!$D995,products!$A$1:$A$49,0),MATCH(orders!L$1,products!$A$1:$G$1,0))</f>
        <v>12.95</v>
      </c>
    </row>
    <row r="996" spans="1:12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 t="str">
        <f>IF(_xlfn.XLOOKUP(orders!C996,customers!$A:$A,customers!$C:$C,,0)=0,"",_xlfn.XLOOKUP(orders!C996,customers!$A:$A,customers!$C:$C,,0))</f>
        <v/>
      </c>
      <c r="H996" s="2" t="str">
        <f>_xlfn.XLOOKUP(C996,customers!$A:$A,customers!$G:$G,,0)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>
        <f>INDEX(products!$A$1:$G$49,MATCH(orders!$D996,products!$A$1:$A$49,0),MATCH(orders!K$1,products!$A$1:$G$1,0))</f>
        <v>0.2</v>
      </c>
      <c r="L996">
        <f>INDEX(products!$A$1:$G$49,MATCH(orders!$D996,products!$A$1:$A$49,0),MATCH(orders!L$1,products!$A$1:$G$1,0))</f>
        <v>2.9849999999999999</v>
      </c>
    </row>
    <row r="997" spans="1:12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>
        <f>IF(_xlfn.XLOOKUP(orders!C997,customers!$A:$A,customers!$C:$C,,0)=0,"",_xlfn.XLOOKUP(orders!C997,customers!$A:$A,customers!$C:$C,,0))</f>
        <v>jtewelsonrn@samsung.com</v>
      </c>
      <c r="H997" s="2" t="str">
        <f>_xlfn.XLOOKUP(C997,customers!$A:$A,customers!$G:$G,,0)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>
        <f>INDEX(products!$A$1:$G$49,MATCH(orders!$D997,products!$A$1:$A$49,0),MATCH(orders!K$1,products!$A$1:$G$1,0))</f>
        <v>2.5</v>
      </c>
      <c r="L997">
        <f>INDEX(products!$A$1:$G$49,MATCH(orders!$D997,products!$A$1:$A$49,0),MATCH(orders!L$1,products!$A$1:$G$1,0))</f>
        <v>27.484999999999996</v>
      </c>
    </row>
    <row r="998" spans="1:12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 t="str">
        <f>IF(_xlfn.XLOOKUP(orders!C998,customers!$A:$A,customers!$C:$C,,0)=0,"",_xlfn.XLOOKUP(orders!C998,customers!$A:$A,customers!$C:$C,,0))</f>
        <v/>
      </c>
      <c r="H998" s="2" t="str">
        <f>_xlfn.XLOOKUP(C998,customers!$A:$A,customers!$G:$G,,0)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>
        <f>INDEX(products!$A$1:$G$49,MATCH(orders!$D998,products!$A$1:$A$49,0),MATCH(orders!K$1,products!$A$1:$G$1,0))</f>
        <v>0.5</v>
      </c>
      <c r="L998">
        <f>INDEX(products!$A$1:$G$49,MATCH(orders!$D998,products!$A$1:$A$49,0),MATCH(orders!L$1,products!$A$1:$G$1,0))</f>
        <v>5.97</v>
      </c>
    </row>
    <row r="999" spans="1:12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 t="str">
        <f>IF(_xlfn.XLOOKUP(orders!C999,customers!$A:$A,customers!$C:$C,,0)=0,"",_xlfn.XLOOKUP(orders!C999,customers!$A:$A,customers!$C:$C,,0))</f>
        <v/>
      </c>
      <c r="H999" s="2" t="str">
        <f>_xlfn.XLOOKUP(C999,customers!$A:$A,customers!$G:$G,,0)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>
        <f>INDEX(products!$A$1:$G$49,MATCH(orders!$D999,products!$A$1:$A$49,0),MATCH(orders!K$1,products!$A$1:$G$1,0))</f>
        <v>0.5</v>
      </c>
      <c r="L999">
        <f>INDEX(products!$A$1:$G$49,MATCH(orders!$D999,products!$A$1:$A$49,0),MATCH(orders!L$1,products!$A$1:$G$1,0))</f>
        <v>6.75</v>
      </c>
    </row>
    <row r="1000" spans="1:12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>
        <f>IF(_xlfn.XLOOKUP(orders!C1000,customers!$A:$A,customers!$C:$C,,0)=0,"",_xlfn.XLOOKUP(orders!C1000,customers!$A:$A,customers!$C:$C,,0))</f>
        <v>njennyrq@bigcartel.com</v>
      </c>
      <c r="H1000" s="2" t="str">
        <f>_xlfn.XLOOKUP(C1000,customers!$A:$A,customers!$G:$G,,0)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>
        <f>INDEX(products!$A$1:$G$49,MATCH(orders!$D1000,products!$A$1:$A$49,0),MATCH(orders!K$1,products!$A$1:$G$1,0))</f>
        <v>1</v>
      </c>
      <c r="L1000">
        <f>INDEX(products!$A$1:$G$49,MATCH(orders!$D1000,products!$A$1:$A$49,0),MATCH(orders!L$1,products!$A$1:$G$1,0))</f>
        <v>9.9499999999999993</v>
      </c>
    </row>
    <row r="1001" spans="1:12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 t="str">
        <f>IF(_xlfn.XLOOKUP(orders!C1001,customers!$A:$A,customers!$C:$C,,0)=0,"",_xlfn.XLOOKUP(orders!C1001,customers!$A:$A,customers!$C:$C,,0))</f>
        <v/>
      </c>
      <c r="H1001" s="2" t="str">
        <f>_xlfn.XLOOKUP(C1001,customers!$A:$A,customers!$G:$G,,0)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>
        <f>INDEX(products!$A$1:$G$49,MATCH(orders!$D1001,products!$A$1:$A$49,0),MATCH(orders!K$1,products!$A$1:$G$1,0))</f>
        <v>0.2</v>
      </c>
      <c r="L1001">
        <f>INDEX(products!$A$1:$G$49,MATCH(orders!$D1001,products!$A$1:$A$49,0),MATCH(orders!L$1,products!$A$1:$G$1,0))</f>
        <v>4.125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iiinert</cp:lastModifiedBy>
  <cp:revision/>
  <dcterms:created xsi:type="dcterms:W3CDTF">2022-11-26T09:51:45Z</dcterms:created>
  <dcterms:modified xsi:type="dcterms:W3CDTF">2025-11-01T01:02:32Z</dcterms:modified>
  <cp:category/>
  <cp:contentStatus/>
</cp:coreProperties>
</file>